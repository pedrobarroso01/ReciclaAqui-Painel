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dro\Desktop\faculdade\4 Semestre\"/>
    </mc:Choice>
  </mc:AlternateContent>
  <bookViews>
    <workbookView xWindow="0" yWindow="0" windowWidth="21570" windowHeight="7995" activeTab="1"/>
  </bookViews>
  <sheets>
    <sheet name="Dados gerais" sheetId="1" r:id="rId1"/>
    <sheet name="Água" sheetId="2" r:id="rId2"/>
    <sheet name="Energia elétrica" sheetId="3" r:id="rId3"/>
    <sheet name="Papel A4" sheetId="4" r:id="rId4"/>
    <sheet name="Emissão CO2 terrestre" sheetId="5" r:id="rId5"/>
    <sheet name="Emissão de CO² aereo" sheetId="6" r:id="rId6"/>
    <sheet name="Copo descartável" sheetId="7" r:id="rId7"/>
    <sheet name="Qte residuos comum" sheetId="8" r:id="rId8"/>
    <sheet name="Qte residuos reciclados" sheetId="9" r:id="rId9"/>
  </sheets>
  <definedNames>
    <definedName name="_xlnm._FilterDatabase" localSheetId="1" hidden="1">Água!$A$1:$B$61</definedName>
    <definedName name="_xlnm._FilterDatabase" localSheetId="6" hidden="1">'Copo descartável'!$A$2:$B$6</definedName>
    <definedName name="_xlnm._FilterDatabase" localSheetId="4" hidden="1">'Emissão CO2 terrestre'!$A$2:$F$26</definedName>
    <definedName name="_xlnm._FilterDatabase" localSheetId="5" hidden="1">'Emissão de CO² aereo'!$A$1:$B$61</definedName>
    <definedName name="_xlnm._FilterDatabase" localSheetId="2" hidden="1">'Energia elétrica'!$A$1:$I$61</definedName>
    <definedName name="_xlnm._FilterDatabase" localSheetId="3" hidden="1">'Papel A4'!$A$2:$D$62</definedName>
    <definedName name="_xlnm._FilterDatabase" localSheetId="7" hidden="1">'Qte residuos comum'!$A$2:$E$29</definedName>
    <definedName name="_xlnm._FilterDatabase" localSheetId="8" hidden="1">'Qte residuos reciclados'!$A$1:$H$37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2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2" i="3"/>
  <c r="K50" i="3"/>
  <c r="D37" i="9" l="1"/>
  <c r="B37" i="9"/>
  <c r="D36" i="9"/>
  <c r="B36" i="9"/>
  <c r="D35" i="9"/>
  <c r="B35" i="9"/>
  <c r="D34" i="9"/>
  <c r="B34" i="9"/>
  <c r="D33" i="9"/>
  <c r="B33" i="9"/>
  <c r="D32" i="9"/>
  <c r="B32" i="9"/>
  <c r="D31" i="9"/>
  <c r="B31" i="9"/>
  <c r="D30" i="9"/>
  <c r="B30" i="9"/>
  <c r="D29" i="9"/>
  <c r="B29" i="9"/>
  <c r="D28" i="9"/>
  <c r="B28" i="9"/>
  <c r="D27" i="9"/>
  <c r="B27" i="9"/>
  <c r="D26" i="9"/>
  <c r="B26" i="9"/>
  <c r="D25" i="9"/>
  <c r="B25" i="9"/>
  <c r="D24" i="9"/>
  <c r="B24" i="9"/>
  <c r="D23" i="9"/>
  <c r="B23" i="9"/>
  <c r="D22" i="9"/>
  <c r="B22" i="9"/>
  <c r="D21" i="9"/>
  <c r="B21" i="9"/>
  <c r="D20" i="9"/>
  <c r="B20" i="9"/>
  <c r="D19" i="9"/>
  <c r="B19" i="9"/>
  <c r="D18" i="9"/>
  <c r="B18" i="9"/>
  <c r="D17" i="9"/>
  <c r="B17" i="9"/>
  <c r="D16" i="9"/>
  <c r="B16" i="9"/>
  <c r="D15" i="9"/>
  <c r="B15" i="9"/>
  <c r="D14" i="9"/>
  <c r="B14" i="9"/>
  <c r="D13" i="9"/>
  <c r="B13" i="9"/>
  <c r="D12" i="9"/>
  <c r="B12" i="9"/>
  <c r="D11" i="9"/>
  <c r="C11" i="9"/>
  <c r="B11" i="9"/>
  <c r="D10" i="9"/>
  <c r="B10" i="9"/>
  <c r="D9" i="9"/>
  <c r="B9" i="9"/>
  <c r="D8" i="9"/>
  <c r="B8" i="9"/>
  <c r="D7" i="9"/>
  <c r="B7" i="9"/>
  <c r="D6" i="9"/>
  <c r="B6" i="9"/>
  <c r="D5" i="9"/>
  <c r="C5" i="9"/>
  <c r="B5" i="9"/>
  <c r="D4" i="9"/>
  <c r="B4" i="9"/>
  <c r="D3" i="9"/>
  <c r="B3" i="9"/>
  <c r="D2" i="9"/>
  <c r="B2" i="9"/>
  <c r="D29" i="8"/>
  <c r="B29" i="8"/>
  <c r="D28" i="8"/>
  <c r="B28" i="8"/>
  <c r="D27" i="8"/>
  <c r="B27" i="8"/>
  <c r="D26" i="8"/>
  <c r="B26" i="8"/>
  <c r="D25" i="8"/>
  <c r="B25" i="8"/>
  <c r="D24" i="8"/>
  <c r="E24" i="8" s="1"/>
  <c r="B24" i="8"/>
  <c r="D23" i="8"/>
  <c r="E23" i="8" s="1"/>
  <c r="B23" i="8"/>
  <c r="D22" i="8"/>
  <c r="E22" i="8" s="1"/>
  <c r="B22" i="8"/>
  <c r="D21" i="8"/>
  <c r="E21" i="8" s="1"/>
  <c r="B21" i="8"/>
  <c r="D20" i="8"/>
  <c r="E20" i="8" s="1"/>
  <c r="B20" i="8"/>
  <c r="D19" i="8"/>
  <c r="E19" i="8" s="1"/>
  <c r="B19" i="8"/>
  <c r="D18" i="8"/>
  <c r="E18" i="8" s="1"/>
  <c r="B18" i="8"/>
  <c r="D17" i="8"/>
  <c r="E17" i="8" s="1"/>
  <c r="B17" i="8"/>
  <c r="D16" i="8"/>
  <c r="E16" i="8" s="1"/>
  <c r="B16" i="8"/>
  <c r="D15" i="8"/>
  <c r="E15" i="8" s="1"/>
  <c r="B15" i="8"/>
  <c r="D14" i="8"/>
  <c r="E14" i="8" s="1"/>
  <c r="B14" i="8"/>
  <c r="D13" i="8"/>
  <c r="E13" i="8" s="1"/>
  <c r="B13" i="8"/>
  <c r="D12" i="8"/>
  <c r="E12" i="8" s="1"/>
  <c r="B12" i="8"/>
  <c r="D11" i="8"/>
  <c r="E11" i="8" s="1"/>
  <c r="B11" i="8"/>
  <c r="D10" i="8"/>
  <c r="E10" i="8" s="1"/>
  <c r="B10" i="8"/>
  <c r="D9" i="8"/>
  <c r="E9" i="8" s="1"/>
  <c r="B9" i="8"/>
  <c r="D8" i="8"/>
  <c r="E8" i="8" s="1"/>
  <c r="B8" i="8"/>
  <c r="D7" i="8"/>
  <c r="E7" i="8" s="1"/>
  <c r="B7" i="8"/>
  <c r="D6" i="8"/>
  <c r="E6" i="8" s="1"/>
  <c r="B6" i="8"/>
  <c r="D5" i="8"/>
  <c r="E5" i="8" s="1"/>
  <c r="B5" i="8"/>
  <c r="D4" i="8"/>
  <c r="E4" i="8" s="1"/>
  <c r="B4" i="8"/>
  <c r="D3" i="8"/>
  <c r="E3" i="8" s="1"/>
  <c r="B3" i="8"/>
  <c r="C7" i="7"/>
  <c r="C5" i="7"/>
  <c r="B5" i="7"/>
  <c r="D5" i="7" s="1"/>
  <c r="C4" i="7"/>
  <c r="B4" i="7"/>
  <c r="D4" i="7" s="1"/>
  <c r="C3" i="7"/>
  <c r="B3" i="7"/>
  <c r="D3" i="7" s="1"/>
  <c r="C61" i="6"/>
  <c r="B61" i="6"/>
  <c r="C60" i="6"/>
  <c r="B60" i="6"/>
  <c r="C59" i="6"/>
  <c r="B59" i="6"/>
  <c r="C58" i="6"/>
  <c r="B58" i="6"/>
  <c r="C57" i="6"/>
  <c r="B57" i="6"/>
  <c r="F56" i="6"/>
  <c r="C56" i="6"/>
  <c r="B56" i="6"/>
  <c r="F55" i="6"/>
  <c r="C55" i="6"/>
  <c r="B55" i="6"/>
  <c r="F54" i="6"/>
  <c r="C54" i="6"/>
  <c r="B54" i="6"/>
  <c r="F53" i="6"/>
  <c r="C53" i="6"/>
  <c r="B53" i="6"/>
  <c r="F52" i="6"/>
  <c r="C52" i="6"/>
  <c r="B52" i="6"/>
  <c r="F51" i="6"/>
  <c r="C51" i="6"/>
  <c r="B51" i="6"/>
  <c r="F50" i="6"/>
  <c r="C50" i="6"/>
  <c r="B50" i="6"/>
  <c r="F49" i="6"/>
  <c r="B49" i="6"/>
  <c r="F48" i="6"/>
  <c r="B48" i="6"/>
  <c r="C48" i="6" s="1"/>
  <c r="F47" i="6"/>
  <c r="F46" i="6"/>
  <c r="B46" i="6"/>
  <c r="C46" i="6" s="1"/>
  <c r="F45" i="6"/>
  <c r="F44" i="6"/>
  <c r="F43" i="6"/>
  <c r="B43" i="6"/>
  <c r="C43" i="6" s="1"/>
  <c r="F42" i="6"/>
  <c r="F41" i="6"/>
  <c r="B41" i="6"/>
  <c r="C41" i="6" s="1"/>
  <c r="F40" i="6"/>
  <c r="F39" i="6"/>
  <c r="B39" i="6"/>
  <c r="C39" i="6" s="1"/>
  <c r="F38" i="6"/>
  <c r="B38" i="6"/>
  <c r="C38" i="6" s="1"/>
  <c r="F37" i="6"/>
  <c r="B37" i="6"/>
  <c r="C37" i="6" s="1"/>
  <c r="F36" i="6"/>
  <c r="B36" i="6"/>
  <c r="C36" i="6" s="1"/>
  <c r="F35" i="6"/>
  <c r="B35" i="6"/>
  <c r="C35" i="6" s="1"/>
  <c r="F34" i="6"/>
  <c r="B34" i="6"/>
  <c r="C34" i="6" s="1"/>
  <c r="F33" i="6"/>
  <c r="B33" i="6"/>
  <c r="C33" i="6" s="1"/>
  <c r="F32" i="6"/>
  <c r="B32" i="6"/>
  <c r="C32" i="6" s="1"/>
  <c r="F31" i="6"/>
  <c r="B31" i="6"/>
  <c r="C31" i="6" s="1"/>
  <c r="F30" i="6"/>
  <c r="B30" i="6"/>
  <c r="C30" i="6" s="1"/>
  <c r="F29" i="6"/>
  <c r="B29" i="6"/>
  <c r="C29" i="6" s="1"/>
  <c r="F28" i="6"/>
  <c r="B28" i="6"/>
  <c r="C28" i="6" s="1"/>
  <c r="F27" i="6"/>
  <c r="B27" i="6"/>
  <c r="C27" i="6" s="1"/>
  <c r="F26" i="6"/>
  <c r="B26" i="6"/>
  <c r="C26" i="6" s="1"/>
  <c r="F25" i="6"/>
  <c r="B25" i="6"/>
  <c r="C25" i="6" s="1"/>
  <c r="F24" i="6"/>
  <c r="B24" i="6"/>
  <c r="F23" i="6"/>
  <c r="B23" i="6"/>
  <c r="F22" i="6"/>
  <c r="B22" i="6"/>
  <c r="F21" i="6"/>
  <c r="B21" i="6"/>
  <c r="F20" i="6"/>
  <c r="B20" i="6"/>
  <c r="F19" i="6"/>
  <c r="B19" i="6"/>
  <c r="F18" i="6"/>
  <c r="B18" i="6"/>
  <c r="C18" i="6" s="1"/>
  <c r="F17" i="6"/>
  <c r="B17" i="6"/>
  <c r="C17" i="6" s="1"/>
  <c r="F16" i="6"/>
  <c r="B16" i="6"/>
  <c r="C16" i="6" s="1"/>
  <c r="F15" i="6"/>
  <c r="B15" i="6"/>
  <c r="C15" i="6" s="1"/>
  <c r="F14" i="6"/>
  <c r="B14" i="6"/>
  <c r="C14" i="6" s="1"/>
  <c r="F13" i="6"/>
  <c r="B13" i="6"/>
  <c r="C13" i="6" s="1"/>
  <c r="F12" i="6"/>
  <c r="B12" i="6"/>
  <c r="F11" i="6"/>
  <c r="B11" i="6"/>
  <c r="F10" i="6"/>
  <c r="B10" i="6"/>
  <c r="F9" i="6"/>
  <c r="B9" i="6"/>
  <c r="F8" i="6"/>
  <c r="B8" i="6"/>
  <c r="F7" i="6"/>
  <c r="B7" i="6"/>
  <c r="F6" i="6"/>
  <c r="B6" i="6"/>
  <c r="F5" i="6"/>
  <c r="B5" i="6"/>
  <c r="F4" i="6"/>
  <c r="B4" i="6"/>
  <c r="F3" i="6"/>
  <c r="B3" i="6"/>
  <c r="F2" i="6"/>
  <c r="B2" i="6"/>
  <c r="C26" i="5"/>
  <c r="B26" i="5"/>
  <c r="C25" i="5"/>
  <c r="B25" i="5"/>
  <c r="C24" i="5"/>
  <c r="B24" i="5"/>
  <c r="C23" i="5"/>
  <c r="B23" i="5"/>
  <c r="C22" i="5"/>
  <c r="B22" i="5"/>
  <c r="F21" i="5"/>
  <c r="C21" i="5"/>
  <c r="B21" i="5"/>
  <c r="F20" i="5"/>
  <c r="C20" i="5"/>
  <c r="B20" i="5"/>
  <c r="F19" i="5"/>
  <c r="C19" i="5"/>
  <c r="B19" i="5"/>
  <c r="F18" i="5"/>
  <c r="C18" i="5"/>
  <c r="B18" i="5"/>
  <c r="F17" i="5"/>
  <c r="C17" i="5"/>
  <c r="B17" i="5"/>
  <c r="F16" i="5"/>
  <c r="C16" i="5"/>
  <c r="B16" i="5"/>
  <c r="F15" i="5"/>
  <c r="C15" i="5"/>
  <c r="B15" i="5"/>
  <c r="F14" i="5"/>
  <c r="B14" i="5"/>
  <c r="F13" i="5"/>
  <c r="B13" i="5"/>
  <c r="F12" i="5"/>
  <c r="B12" i="5"/>
  <c r="F11" i="5"/>
  <c r="B11" i="5"/>
  <c r="D10" i="5"/>
  <c r="F10" i="5" s="1"/>
  <c r="B10" i="5"/>
  <c r="F9" i="5"/>
  <c r="B9" i="5"/>
  <c r="D8" i="5"/>
  <c r="F8" i="5" s="1"/>
  <c r="B8" i="5"/>
  <c r="E7" i="5"/>
  <c r="D7" i="5"/>
  <c r="F7" i="5" s="1"/>
  <c r="B7" i="5"/>
  <c r="D6" i="5"/>
  <c r="F6" i="5" s="1"/>
  <c r="B6" i="5"/>
  <c r="F5" i="5"/>
  <c r="B5" i="5"/>
  <c r="F4" i="5"/>
  <c r="B4" i="5"/>
  <c r="F3" i="5"/>
  <c r="B3" i="5"/>
  <c r="F62" i="4"/>
  <c r="C62" i="4"/>
  <c r="B62" i="4"/>
  <c r="F61" i="4"/>
  <c r="C61" i="4"/>
  <c r="B61" i="4"/>
  <c r="F60" i="4"/>
  <c r="C60" i="4"/>
  <c r="B60" i="4"/>
  <c r="F59" i="4"/>
  <c r="C59" i="4"/>
  <c r="B59" i="4"/>
  <c r="F58" i="4"/>
  <c r="C58" i="4"/>
  <c r="B58" i="4"/>
  <c r="F57" i="4"/>
  <c r="D57" i="4"/>
  <c r="C57" i="4"/>
  <c r="B57" i="4"/>
  <c r="F56" i="4"/>
  <c r="D56" i="4"/>
  <c r="C56" i="4"/>
  <c r="B56" i="4"/>
  <c r="F55" i="4"/>
  <c r="G55" i="4" s="1"/>
  <c r="E55" i="4"/>
  <c r="H55" i="4" s="1"/>
  <c r="C55" i="4"/>
  <c r="B55" i="4"/>
  <c r="F54" i="4"/>
  <c r="D54" i="4"/>
  <c r="C54" i="4"/>
  <c r="B54" i="4"/>
  <c r="F53" i="4"/>
  <c r="D53" i="4"/>
  <c r="C53" i="4"/>
  <c r="B53" i="4"/>
  <c r="F52" i="4"/>
  <c r="D52" i="4"/>
  <c r="C52" i="4"/>
  <c r="B52" i="4"/>
  <c r="F51" i="4"/>
  <c r="D51" i="4"/>
  <c r="C51" i="4"/>
  <c r="B51" i="4"/>
  <c r="F50" i="4"/>
  <c r="D50" i="4"/>
  <c r="B50" i="4"/>
  <c r="F49" i="4"/>
  <c r="D49" i="4"/>
  <c r="B49" i="4"/>
  <c r="F48" i="4"/>
  <c r="D48" i="4"/>
  <c r="B48" i="4"/>
  <c r="C48" i="4" s="1"/>
  <c r="F47" i="4"/>
  <c r="D47" i="4"/>
  <c r="F46" i="4"/>
  <c r="D46" i="4"/>
  <c r="B46" i="4"/>
  <c r="C46" i="4" s="1"/>
  <c r="F45" i="4"/>
  <c r="G45" i="4" s="1"/>
  <c r="E45" i="4"/>
  <c r="H45" i="4" s="1"/>
  <c r="F44" i="4"/>
  <c r="G44" i="4" s="1"/>
  <c r="E44" i="4"/>
  <c r="H44" i="4" s="1"/>
  <c r="F43" i="4"/>
  <c r="G43" i="4" s="1"/>
  <c r="E43" i="4"/>
  <c r="H43" i="4" s="1"/>
  <c r="B43" i="4"/>
  <c r="C43" i="4" s="1"/>
  <c r="F42" i="4"/>
  <c r="G42" i="4" s="1"/>
  <c r="E42" i="4"/>
  <c r="H42" i="4" s="1"/>
  <c r="F41" i="4"/>
  <c r="G41" i="4" s="1"/>
  <c r="E41" i="4"/>
  <c r="H41" i="4" s="1"/>
  <c r="B41" i="4"/>
  <c r="C41" i="4" s="1"/>
  <c r="F40" i="4"/>
  <c r="G40" i="4" s="1"/>
  <c r="E40" i="4"/>
  <c r="H40" i="4" s="1"/>
  <c r="F39" i="4"/>
  <c r="G39" i="4" s="1"/>
  <c r="E39" i="4"/>
  <c r="H39" i="4" s="1"/>
  <c r="B39" i="4"/>
  <c r="C39" i="4" s="1"/>
  <c r="F38" i="4"/>
  <c r="G38" i="4" s="1"/>
  <c r="E38" i="4"/>
  <c r="H38" i="4" s="1"/>
  <c r="B38" i="4"/>
  <c r="C38" i="4" s="1"/>
  <c r="F37" i="4"/>
  <c r="G37" i="4" s="1"/>
  <c r="E37" i="4"/>
  <c r="H37" i="4" s="1"/>
  <c r="B37" i="4"/>
  <c r="C37" i="4" s="1"/>
  <c r="F36" i="4"/>
  <c r="D36" i="4"/>
  <c r="B36" i="4"/>
  <c r="C36" i="4" s="1"/>
  <c r="F35" i="4"/>
  <c r="D35" i="4"/>
  <c r="B35" i="4"/>
  <c r="C35" i="4" s="1"/>
  <c r="F34" i="4"/>
  <c r="D34" i="4"/>
  <c r="B34" i="4"/>
  <c r="C34" i="4" s="1"/>
  <c r="F33" i="4"/>
  <c r="D33" i="4"/>
  <c r="B33" i="4"/>
  <c r="C33" i="4" s="1"/>
  <c r="F32" i="4"/>
  <c r="D32" i="4"/>
  <c r="B32" i="4"/>
  <c r="C32" i="4" s="1"/>
  <c r="F31" i="4"/>
  <c r="D31" i="4"/>
  <c r="B31" i="4"/>
  <c r="C31" i="4" s="1"/>
  <c r="F30" i="4"/>
  <c r="D30" i="4"/>
  <c r="B30" i="4"/>
  <c r="C30" i="4" s="1"/>
  <c r="F29" i="4"/>
  <c r="D29" i="4"/>
  <c r="B29" i="4"/>
  <c r="C29" i="4" s="1"/>
  <c r="F28" i="4"/>
  <c r="D28" i="4"/>
  <c r="B28" i="4"/>
  <c r="C28" i="4" s="1"/>
  <c r="F27" i="4"/>
  <c r="D27" i="4"/>
  <c r="B27" i="4"/>
  <c r="C27" i="4" s="1"/>
  <c r="F26" i="4"/>
  <c r="D26" i="4"/>
  <c r="B26" i="4"/>
  <c r="C26" i="4" s="1"/>
  <c r="F25" i="4"/>
  <c r="D25" i="4"/>
  <c r="B25" i="4"/>
  <c r="C25" i="4" s="1"/>
  <c r="F24" i="4"/>
  <c r="G24" i="4" s="1"/>
  <c r="E24" i="4"/>
  <c r="H24" i="4" s="1"/>
  <c r="B24" i="4"/>
  <c r="C24" i="4" s="1"/>
  <c r="F23" i="4"/>
  <c r="G23" i="4" s="1"/>
  <c r="E23" i="4"/>
  <c r="H23" i="4" s="1"/>
  <c r="B23" i="4"/>
  <c r="F22" i="4"/>
  <c r="G22" i="4" s="1"/>
  <c r="E22" i="4"/>
  <c r="H22" i="4" s="1"/>
  <c r="B22" i="4"/>
  <c r="F21" i="4"/>
  <c r="B21" i="4"/>
  <c r="F20" i="4"/>
  <c r="G20" i="4" s="1"/>
  <c r="E20" i="4"/>
  <c r="H20" i="4" s="1"/>
  <c r="B20" i="4"/>
  <c r="F19" i="4"/>
  <c r="G19" i="4" s="1"/>
  <c r="E19" i="4"/>
  <c r="H19" i="4" s="1"/>
  <c r="B19" i="4"/>
  <c r="C19" i="4" s="1"/>
  <c r="F18" i="4"/>
  <c r="G18" i="4" s="1"/>
  <c r="E18" i="4"/>
  <c r="H18" i="4" s="1"/>
  <c r="B18" i="4"/>
  <c r="C18" i="4" s="1"/>
  <c r="F17" i="4"/>
  <c r="G17" i="4" s="1"/>
  <c r="E17" i="4"/>
  <c r="H17" i="4" s="1"/>
  <c r="B17" i="4"/>
  <c r="C17" i="4" s="1"/>
  <c r="F16" i="4"/>
  <c r="G16" i="4" s="1"/>
  <c r="E16" i="4"/>
  <c r="H16" i="4" s="1"/>
  <c r="B16" i="4"/>
  <c r="C16" i="4" s="1"/>
  <c r="F15" i="4"/>
  <c r="G15" i="4" s="1"/>
  <c r="E15" i="4"/>
  <c r="H15" i="4" s="1"/>
  <c r="B15" i="4"/>
  <c r="C15" i="4" s="1"/>
  <c r="F14" i="4"/>
  <c r="G14" i="4" s="1"/>
  <c r="E14" i="4"/>
  <c r="H14" i="4" s="1"/>
  <c r="B14" i="4"/>
  <c r="C14" i="4" s="1"/>
  <c r="F13" i="4"/>
  <c r="G13" i="4" s="1"/>
  <c r="E13" i="4"/>
  <c r="H13" i="4" s="1"/>
  <c r="B13" i="4"/>
  <c r="C13" i="4" s="1"/>
  <c r="F12" i="4"/>
  <c r="D12" i="4"/>
  <c r="B12" i="4"/>
  <c r="F11" i="4"/>
  <c r="D11" i="4"/>
  <c r="B11" i="4"/>
  <c r="F10" i="4"/>
  <c r="D10" i="4"/>
  <c r="B10" i="4"/>
  <c r="F9" i="4"/>
  <c r="D9" i="4"/>
  <c r="B9" i="4"/>
  <c r="F8" i="4"/>
  <c r="G8" i="4" s="1"/>
  <c r="E8" i="4"/>
  <c r="H8" i="4" s="1"/>
  <c r="B8" i="4"/>
  <c r="F7" i="4"/>
  <c r="G7" i="4" s="1"/>
  <c r="E7" i="4"/>
  <c r="H7" i="4" s="1"/>
  <c r="B7" i="4"/>
  <c r="F6" i="4"/>
  <c r="G6" i="4" s="1"/>
  <c r="E6" i="4"/>
  <c r="H6" i="4" s="1"/>
  <c r="B6" i="4"/>
  <c r="F5" i="4"/>
  <c r="G5" i="4" s="1"/>
  <c r="E5" i="4"/>
  <c r="H5" i="4" s="1"/>
  <c r="B5" i="4"/>
  <c r="F4" i="4"/>
  <c r="G4" i="4" s="1"/>
  <c r="E4" i="4"/>
  <c r="H4" i="4" s="1"/>
  <c r="B4" i="4"/>
  <c r="F3" i="4"/>
  <c r="G3" i="4" s="1"/>
  <c r="E3" i="4"/>
  <c r="H3" i="4" s="1"/>
  <c r="B3" i="4"/>
  <c r="H61" i="3"/>
  <c r="F61" i="3"/>
  <c r="C61" i="3"/>
  <c r="B61" i="3"/>
  <c r="H60" i="3"/>
  <c r="F60" i="3"/>
  <c r="C60" i="3"/>
  <c r="B60" i="3"/>
  <c r="H59" i="3"/>
  <c r="F59" i="3"/>
  <c r="C59" i="3"/>
  <c r="B59" i="3"/>
  <c r="H58" i="3"/>
  <c r="F58" i="3"/>
  <c r="C58" i="3"/>
  <c r="B58" i="3"/>
  <c r="H57" i="3"/>
  <c r="F57" i="3"/>
  <c r="C57" i="3"/>
  <c r="B57" i="3"/>
  <c r="F56" i="3"/>
  <c r="D56" i="3"/>
  <c r="C56" i="3"/>
  <c r="B56" i="3"/>
  <c r="F55" i="3"/>
  <c r="D55" i="3"/>
  <c r="C55" i="3"/>
  <c r="B55" i="3"/>
  <c r="F54" i="3"/>
  <c r="D54" i="3"/>
  <c r="C54" i="3"/>
  <c r="B54" i="3"/>
  <c r="F53" i="3"/>
  <c r="D53" i="3"/>
  <c r="C53" i="3"/>
  <c r="B53" i="3"/>
  <c r="F52" i="3"/>
  <c r="D52" i="3"/>
  <c r="C52" i="3"/>
  <c r="B52" i="3"/>
  <c r="F51" i="3"/>
  <c r="D51" i="3"/>
  <c r="C51" i="3"/>
  <c r="B51" i="3"/>
  <c r="F50" i="3"/>
  <c r="D50" i="3"/>
  <c r="C50" i="3"/>
  <c r="B50" i="3"/>
  <c r="H49" i="3"/>
  <c r="F49" i="3"/>
  <c r="D49" i="3"/>
  <c r="B49" i="3"/>
  <c r="H48" i="3"/>
  <c r="F48" i="3"/>
  <c r="D48" i="3"/>
  <c r="B48" i="3"/>
  <c r="H47" i="3"/>
  <c r="F47" i="3"/>
  <c r="D47" i="3"/>
  <c r="B47" i="3"/>
  <c r="H46" i="3"/>
  <c r="F46" i="3"/>
  <c r="D46" i="3"/>
  <c r="B46" i="3"/>
  <c r="H45" i="3"/>
  <c r="F45" i="3"/>
  <c r="D45" i="3"/>
  <c r="B45" i="3"/>
  <c r="H44" i="3"/>
  <c r="F44" i="3"/>
  <c r="D44" i="3"/>
  <c r="B44" i="3"/>
  <c r="H43" i="3"/>
  <c r="F43" i="3"/>
  <c r="D43" i="3"/>
  <c r="B43" i="3"/>
  <c r="H42" i="3"/>
  <c r="F42" i="3"/>
  <c r="D42" i="3"/>
  <c r="B42" i="3"/>
  <c r="H41" i="3"/>
  <c r="F41" i="3"/>
  <c r="D41" i="3"/>
  <c r="B41" i="3"/>
  <c r="H40" i="3"/>
  <c r="F40" i="3"/>
  <c r="D40" i="3"/>
  <c r="B40" i="3"/>
  <c r="H39" i="3"/>
  <c r="F39" i="3"/>
  <c r="D39" i="3"/>
  <c r="B39" i="3"/>
  <c r="H38" i="3"/>
  <c r="F38" i="3"/>
  <c r="D38" i="3"/>
  <c r="B38" i="3"/>
  <c r="C38" i="3" s="1"/>
  <c r="H37" i="3"/>
  <c r="F37" i="3"/>
  <c r="B37" i="3"/>
  <c r="H36" i="3"/>
  <c r="F36" i="3"/>
  <c r="D36" i="3"/>
  <c r="B36" i="3"/>
  <c r="H35" i="3"/>
  <c r="F35" i="3"/>
  <c r="D35" i="3"/>
  <c r="B35" i="3"/>
  <c r="H34" i="3"/>
  <c r="F34" i="3"/>
  <c r="D34" i="3"/>
  <c r="B34" i="3"/>
  <c r="H33" i="3"/>
  <c r="F33" i="3"/>
  <c r="B33" i="3"/>
  <c r="H32" i="3"/>
  <c r="F32" i="3"/>
  <c r="B32" i="3"/>
  <c r="H31" i="3"/>
  <c r="F31" i="3"/>
  <c r="B31" i="3"/>
  <c r="H30" i="3"/>
  <c r="F30" i="3"/>
  <c r="B30" i="3"/>
  <c r="H29" i="3"/>
  <c r="I29" i="3" s="1"/>
  <c r="F29" i="3"/>
  <c r="G29" i="3" s="1"/>
  <c r="B29" i="3"/>
  <c r="H28" i="3"/>
  <c r="I28" i="3" s="1"/>
  <c r="F28" i="3"/>
  <c r="G28" i="3" s="1"/>
  <c r="B28" i="3"/>
  <c r="H27" i="3"/>
  <c r="F27" i="3"/>
  <c r="B27" i="3"/>
  <c r="H26" i="3"/>
  <c r="F26" i="3"/>
  <c r="B26" i="3"/>
  <c r="C26" i="3" s="1"/>
  <c r="H25" i="3"/>
  <c r="F25" i="3"/>
  <c r="B25" i="3"/>
  <c r="C25" i="3" s="1"/>
  <c r="H24" i="3"/>
  <c r="F24" i="3"/>
  <c r="B24" i="3"/>
  <c r="H23" i="3"/>
  <c r="F23" i="3"/>
  <c r="B23" i="3"/>
  <c r="H22" i="3"/>
  <c r="F22" i="3"/>
  <c r="B22" i="3"/>
  <c r="H21" i="3"/>
  <c r="F21" i="3"/>
  <c r="B21" i="3"/>
  <c r="H20" i="3"/>
  <c r="F20" i="3"/>
  <c r="B20" i="3"/>
  <c r="H19" i="3"/>
  <c r="F19" i="3"/>
  <c r="B19" i="3"/>
  <c r="H18" i="3"/>
  <c r="F18" i="3"/>
  <c r="B18" i="3"/>
  <c r="H17" i="3"/>
  <c r="F17" i="3"/>
  <c r="B17" i="3"/>
  <c r="H16" i="3"/>
  <c r="F16" i="3"/>
  <c r="B16" i="3"/>
  <c r="H15" i="3"/>
  <c r="I15" i="3" s="1"/>
  <c r="F15" i="3"/>
  <c r="G15" i="3" s="1"/>
  <c r="B15" i="3"/>
  <c r="C15" i="3" s="1"/>
  <c r="H14" i="3"/>
  <c r="I14" i="3" s="1"/>
  <c r="F14" i="3"/>
  <c r="G14" i="3" s="1"/>
  <c r="B14" i="3"/>
  <c r="C14" i="3" s="1"/>
  <c r="H13" i="3"/>
  <c r="F13" i="3"/>
  <c r="D13" i="3"/>
  <c r="B13" i="3"/>
  <c r="C13" i="3" s="1"/>
  <c r="H12" i="3"/>
  <c r="F12" i="3"/>
  <c r="D12" i="3"/>
  <c r="H11" i="3"/>
  <c r="F11" i="3"/>
  <c r="D11" i="3"/>
  <c r="B11" i="3"/>
  <c r="C11" i="3" s="1"/>
  <c r="H10" i="3"/>
  <c r="F10" i="3"/>
  <c r="D10" i="3"/>
  <c r="H9" i="3"/>
  <c r="F9" i="3"/>
  <c r="D9" i="3"/>
  <c r="H8" i="3"/>
  <c r="F8" i="3"/>
  <c r="D8" i="3"/>
  <c r="B8" i="3"/>
  <c r="C8" i="3" s="1"/>
  <c r="H7" i="3"/>
  <c r="F7" i="3"/>
  <c r="D7" i="3"/>
  <c r="H6" i="3"/>
  <c r="F6" i="3"/>
  <c r="D6" i="3"/>
  <c r="B6" i="3"/>
  <c r="C6" i="3" s="1"/>
  <c r="H5" i="3"/>
  <c r="F5" i="3"/>
  <c r="D5" i="3"/>
  <c r="H4" i="3"/>
  <c r="F4" i="3"/>
  <c r="D4" i="3"/>
  <c r="B4" i="3"/>
  <c r="C4" i="3" s="1"/>
  <c r="H3" i="3"/>
  <c r="F3" i="3"/>
  <c r="D3" i="3"/>
  <c r="B3" i="3"/>
  <c r="C3" i="3" s="1"/>
  <c r="H2" i="3"/>
  <c r="F2" i="3"/>
  <c r="D2" i="3"/>
  <c r="B2" i="3"/>
  <c r="C2" i="3" s="1"/>
  <c r="F61" i="2"/>
  <c r="E61" i="2"/>
  <c r="C61" i="2"/>
  <c r="B61" i="2"/>
  <c r="F60" i="2"/>
  <c r="E60" i="2"/>
  <c r="C60" i="2"/>
  <c r="B60" i="2"/>
  <c r="F59" i="2"/>
  <c r="E59" i="2"/>
  <c r="C59" i="2"/>
  <c r="B59" i="2"/>
  <c r="F58" i="2"/>
  <c r="E58" i="2"/>
  <c r="C58" i="2"/>
  <c r="B58" i="2"/>
  <c r="C57" i="2"/>
  <c r="B57" i="2"/>
  <c r="C56" i="2"/>
  <c r="B56" i="2"/>
  <c r="C55" i="2"/>
  <c r="B55" i="2"/>
  <c r="C54" i="2"/>
  <c r="B54" i="2"/>
  <c r="C53" i="2"/>
  <c r="B53" i="2"/>
  <c r="E52" i="2"/>
  <c r="C52" i="2"/>
  <c r="B52" i="2"/>
  <c r="E51" i="2"/>
  <c r="C51" i="2"/>
  <c r="B51" i="2"/>
  <c r="E50" i="2"/>
  <c r="C50" i="2"/>
  <c r="B50" i="2"/>
  <c r="F49" i="2"/>
  <c r="E49" i="2"/>
  <c r="B49" i="2"/>
  <c r="F48" i="2"/>
  <c r="E48" i="2"/>
  <c r="B48" i="2"/>
  <c r="F47" i="2"/>
  <c r="E47" i="2"/>
  <c r="B47" i="2"/>
  <c r="F46" i="2"/>
  <c r="E46" i="2"/>
  <c r="B46" i="2"/>
  <c r="F45" i="2"/>
  <c r="E45" i="2"/>
  <c r="B45" i="2"/>
  <c r="F44" i="2"/>
  <c r="E44" i="2"/>
  <c r="B44" i="2"/>
  <c r="F43" i="2"/>
  <c r="E43" i="2"/>
  <c r="B43" i="2"/>
  <c r="F42" i="2"/>
  <c r="E42" i="2"/>
  <c r="B42" i="2"/>
  <c r="F41" i="2"/>
  <c r="E41" i="2"/>
  <c r="B41" i="2"/>
  <c r="F40" i="2"/>
  <c r="E40" i="2"/>
  <c r="B40" i="2"/>
  <c r="F39" i="2"/>
  <c r="E39" i="2"/>
  <c r="B39" i="2"/>
  <c r="F38" i="2"/>
  <c r="E38" i="2"/>
  <c r="B38" i="2"/>
  <c r="F37" i="2"/>
  <c r="E37" i="2"/>
  <c r="B37" i="2"/>
  <c r="F36" i="2"/>
  <c r="E36" i="2"/>
  <c r="B36" i="2"/>
  <c r="F35" i="2"/>
  <c r="E35" i="2"/>
  <c r="B35" i="2"/>
  <c r="F34" i="2"/>
  <c r="E34" i="2"/>
  <c r="B34" i="2"/>
  <c r="F33" i="2"/>
  <c r="E33" i="2"/>
  <c r="B33" i="2"/>
  <c r="F32" i="2"/>
  <c r="E32" i="2"/>
  <c r="B32" i="2"/>
  <c r="F31" i="2"/>
  <c r="E31" i="2"/>
  <c r="B31" i="2"/>
  <c r="C31" i="2" s="1"/>
  <c r="F30" i="2"/>
  <c r="E30" i="2"/>
  <c r="B30" i="2"/>
  <c r="C30" i="2" s="1"/>
  <c r="F29" i="2"/>
  <c r="E29" i="2"/>
  <c r="B29" i="2"/>
  <c r="C29" i="2" s="1"/>
  <c r="F28" i="2"/>
  <c r="E28" i="2"/>
  <c r="B28" i="2"/>
  <c r="C28" i="2" s="1"/>
  <c r="F27" i="2"/>
  <c r="E27" i="2"/>
  <c r="B27" i="2"/>
  <c r="C27" i="2" s="1"/>
  <c r="F26" i="2"/>
  <c r="E26" i="2"/>
  <c r="B26" i="2"/>
  <c r="C26" i="2" s="1"/>
  <c r="F25" i="2"/>
  <c r="E25" i="2"/>
  <c r="B25" i="2"/>
  <c r="C25" i="2" s="1"/>
  <c r="F24" i="2"/>
  <c r="E24" i="2"/>
  <c r="B24" i="2"/>
  <c r="C24" i="2" s="1"/>
  <c r="F23" i="2"/>
  <c r="E23" i="2"/>
  <c r="B23" i="2"/>
  <c r="C23" i="2" s="1"/>
  <c r="F22" i="2"/>
  <c r="E22" i="2"/>
  <c r="B22" i="2"/>
  <c r="C22" i="2" s="1"/>
  <c r="F21" i="2"/>
  <c r="E21" i="2"/>
  <c r="B21" i="2"/>
  <c r="C21" i="2" s="1"/>
  <c r="F20" i="2"/>
  <c r="E20" i="2"/>
  <c r="B20" i="2"/>
  <c r="C20" i="2" s="1"/>
  <c r="F19" i="2"/>
  <c r="E19" i="2"/>
  <c r="B19" i="2"/>
  <c r="C19" i="2" s="1"/>
  <c r="F18" i="2"/>
  <c r="E18" i="2"/>
  <c r="B18" i="2"/>
  <c r="C18" i="2" s="1"/>
  <c r="F17" i="2"/>
  <c r="E17" i="2"/>
  <c r="B17" i="2"/>
  <c r="C17" i="2" s="1"/>
  <c r="F16" i="2"/>
  <c r="E16" i="2"/>
  <c r="B16" i="2"/>
  <c r="C16" i="2" s="1"/>
  <c r="F15" i="2"/>
  <c r="E15" i="2"/>
  <c r="B15" i="2"/>
  <c r="C15" i="2" s="1"/>
  <c r="F14" i="2"/>
  <c r="E14" i="2"/>
  <c r="B14" i="2"/>
  <c r="C14" i="2" s="1"/>
  <c r="F13" i="2"/>
  <c r="E13" i="2"/>
  <c r="B13" i="2"/>
  <c r="C13" i="2" s="1"/>
  <c r="F12" i="2"/>
  <c r="E12" i="2"/>
  <c r="F11" i="2"/>
  <c r="E11" i="2"/>
  <c r="B11" i="2"/>
  <c r="C11" i="2" s="1"/>
  <c r="F10" i="2"/>
  <c r="E10" i="2"/>
  <c r="F9" i="2"/>
  <c r="E9" i="2"/>
  <c r="F8" i="2"/>
  <c r="E8" i="2"/>
  <c r="B8" i="2"/>
  <c r="C8" i="2" s="1"/>
  <c r="F7" i="2"/>
  <c r="E7" i="2"/>
  <c r="F6" i="2"/>
  <c r="E6" i="2"/>
  <c r="B6" i="2"/>
  <c r="C6" i="2" s="1"/>
  <c r="F5" i="2"/>
  <c r="E5" i="2"/>
  <c r="F4" i="2"/>
  <c r="E4" i="2"/>
  <c r="B4" i="2"/>
  <c r="C4" i="2" s="1"/>
  <c r="F3" i="2"/>
  <c r="E3" i="2"/>
  <c r="B3" i="2"/>
  <c r="C3" i="2" s="1"/>
  <c r="F2" i="2"/>
  <c r="E2" i="2"/>
  <c r="B2" i="2"/>
  <c r="C2" i="2" s="1"/>
  <c r="AC15" i="1"/>
  <c r="W15" i="1"/>
  <c r="C6" i="7" s="1"/>
  <c r="D6" i="7" s="1"/>
  <c r="Q15" i="1"/>
  <c r="K15" i="1"/>
  <c r="E15" i="1"/>
  <c r="C14" i="1"/>
  <c r="B13" i="1"/>
  <c r="C12" i="1"/>
  <c r="B10" i="1"/>
  <c r="C9" i="1"/>
  <c r="B8" i="1"/>
  <c r="C7" i="1"/>
  <c r="B6" i="1"/>
  <c r="C5" i="1"/>
  <c r="C4" i="1"/>
  <c r="C3" i="1"/>
  <c r="B40" i="6" l="1"/>
  <c r="C40" i="6" s="1"/>
  <c r="B40" i="4"/>
  <c r="C40" i="4" s="1"/>
  <c r="B5" i="3"/>
  <c r="C5" i="3" s="1"/>
  <c r="B5" i="2"/>
  <c r="C5" i="2" s="1"/>
  <c r="C6" i="1"/>
  <c r="B42" i="6"/>
  <c r="C42" i="6" s="1"/>
  <c r="B42" i="4"/>
  <c r="C42" i="4" s="1"/>
  <c r="B7" i="3"/>
  <c r="C7" i="3" s="1"/>
  <c r="B7" i="2"/>
  <c r="C7" i="2" s="1"/>
  <c r="C8" i="1"/>
  <c r="B44" i="6"/>
  <c r="C44" i="6" s="1"/>
  <c r="B44" i="4"/>
  <c r="C44" i="4" s="1"/>
  <c r="B9" i="3"/>
  <c r="C9" i="3" s="1"/>
  <c r="B9" i="2"/>
  <c r="C9" i="2" s="1"/>
  <c r="B11" i="1"/>
  <c r="C10" i="1"/>
  <c r="B47" i="6"/>
  <c r="C47" i="6" s="1"/>
  <c r="B47" i="4"/>
  <c r="C47" i="4" s="1"/>
  <c r="B12" i="3"/>
  <c r="C12" i="3" s="1"/>
  <c r="B12" i="2"/>
  <c r="C12" i="2" s="1"/>
  <c r="C13" i="1"/>
  <c r="I2" i="3"/>
  <c r="G2" i="3"/>
  <c r="I3" i="3"/>
  <c r="G3" i="3"/>
  <c r="I4" i="3"/>
  <c r="G4" i="3"/>
  <c r="I5" i="3"/>
  <c r="G5" i="3"/>
  <c r="I6" i="3"/>
  <c r="G6" i="3"/>
  <c r="I7" i="3"/>
  <c r="G7" i="3"/>
  <c r="I8" i="3"/>
  <c r="G8" i="3"/>
  <c r="I9" i="3"/>
  <c r="G9" i="3"/>
  <c r="I10" i="3"/>
  <c r="G10" i="3"/>
  <c r="I11" i="3"/>
  <c r="G11" i="3"/>
  <c r="I12" i="3"/>
  <c r="G12" i="3"/>
  <c r="I13" i="3"/>
  <c r="G13" i="3"/>
  <c r="I16" i="3"/>
  <c r="G16" i="3"/>
  <c r="I17" i="3"/>
  <c r="G17" i="3"/>
  <c r="I18" i="3"/>
  <c r="G18" i="3"/>
  <c r="I19" i="3"/>
  <c r="G19" i="3"/>
  <c r="I20" i="3"/>
  <c r="G20" i="3"/>
  <c r="I21" i="3"/>
  <c r="G21" i="3"/>
  <c r="I22" i="3"/>
  <c r="G22" i="3"/>
  <c r="I23" i="3"/>
  <c r="G23" i="3"/>
  <c r="I24" i="3"/>
  <c r="G24" i="3"/>
  <c r="I25" i="3"/>
  <c r="G25" i="3"/>
  <c r="I26" i="3"/>
  <c r="G26" i="3"/>
  <c r="I27" i="3"/>
  <c r="G27" i="3"/>
  <c r="I30" i="3"/>
  <c r="G30" i="3"/>
  <c r="I31" i="3"/>
  <c r="G31" i="3"/>
  <c r="I32" i="3"/>
  <c r="G32" i="3"/>
  <c r="I33" i="3"/>
  <c r="G33" i="3"/>
  <c r="I34" i="3"/>
  <c r="G34" i="3"/>
  <c r="I35" i="3"/>
  <c r="G35" i="3"/>
  <c r="I36" i="3"/>
  <c r="G36" i="3"/>
  <c r="I37" i="3"/>
  <c r="G37" i="3"/>
  <c r="I38" i="3"/>
  <c r="G38" i="3"/>
  <c r="I39" i="3"/>
  <c r="G39" i="3"/>
  <c r="I40" i="3"/>
  <c r="G40" i="3"/>
  <c r="I41" i="3"/>
  <c r="G41" i="3"/>
  <c r="I42" i="3"/>
  <c r="G42" i="3"/>
  <c r="I43" i="3"/>
  <c r="G43" i="3"/>
  <c r="I44" i="3"/>
  <c r="G44" i="3"/>
  <c r="I45" i="3"/>
  <c r="G45" i="3"/>
  <c r="I46" i="3"/>
  <c r="G46" i="3"/>
  <c r="I47" i="3"/>
  <c r="G47" i="3"/>
  <c r="I48" i="3"/>
  <c r="G48" i="3"/>
  <c r="I49" i="3"/>
  <c r="G49" i="3"/>
  <c r="I50" i="3"/>
  <c r="G50" i="3"/>
  <c r="I51" i="3"/>
  <c r="G51" i="3"/>
  <c r="I52" i="3"/>
  <c r="G52" i="3"/>
  <c r="I53" i="3"/>
  <c r="G53" i="3"/>
  <c r="I54" i="3"/>
  <c r="G54" i="3"/>
  <c r="I55" i="3"/>
  <c r="G55" i="3"/>
  <c r="I56" i="3"/>
  <c r="G56" i="3"/>
  <c r="G9" i="4"/>
  <c r="E9" i="4"/>
  <c r="H9" i="4" s="1"/>
  <c r="G10" i="4"/>
  <c r="E10" i="4"/>
  <c r="H10" i="4" s="1"/>
  <c r="G11" i="4"/>
  <c r="E11" i="4"/>
  <c r="H11" i="4" s="1"/>
  <c r="G12" i="4"/>
  <c r="E12" i="4"/>
  <c r="H12" i="4" s="1"/>
  <c r="H21" i="4"/>
  <c r="G21" i="4"/>
  <c r="G25" i="4"/>
  <c r="E25" i="4"/>
  <c r="H25" i="4" s="1"/>
  <c r="G26" i="4"/>
  <c r="E26" i="4"/>
  <c r="H26" i="4" s="1"/>
  <c r="G27" i="4"/>
  <c r="E27" i="4"/>
  <c r="H27" i="4" s="1"/>
  <c r="G28" i="4"/>
  <c r="E28" i="4"/>
  <c r="H28" i="4" s="1"/>
  <c r="G29" i="4"/>
  <c r="E29" i="4"/>
  <c r="H29" i="4" s="1"/>
  <c r="G30" i="4"/>
  <c r="E30" i="4"/>
  <c r="H30" i="4" s="1"/>
  <c r="G31" i="4"/>
  <c r="E31" i="4"/>
  <c r="H31" i="4" s="1"/>
  <c r="G32" i="4"/>
  <c r="E32" i="4"/>
  <c r="H32" i="4" s="1"/>
  <c r="G33" i="4"/>
  <c r="E33" i="4"/>
  <c r="H33" i="4" s="1"/>
  <c r="G34" i="4"/>
  <c r="E34" i="4"/>
  <c r="H34" i="4" s="1"/>
  <c r="G35" i="4"/>
  <c r="E35" i="4"/>
  <c r="H35" i="4" s="1"/>
  <c r="G36" i="4"/>
  <c r="E36" i="4"/>
  <c r="H36" i="4" s="1"/>
  <c r="G46" i="4"/>
  <c r="E46" i="4"/>
  <c r="H46" i="4" s="1"/>
  <c r="G47" i="4"/>
  <c r="E47" i="4"/>
  <c r="H47" i="4" s="1"/>
  <c r="G48" i="4"/>
  <c r="E48" i="4"/>
  <c r="H48" i="4" s="1"/>
  <c r="G49" i="4"/>
  <c r="E49" i="4"/>
  <c r="H49" i="4" s="1"/>
  <c r="G50" i="4"/>
  <c r="E50" i="4"/>
  <c r="H50" i="4" s="1"/>
  <c r="G51" i="4"/>
  <c r="E51" i="4"/>
  <c r="H51" i="4" s="1"/>
  <c r="G52" i="4"/>
  <c r="E52" i="4"/>
  <c r="H52" i="4" s="1"/>
  <c r="G53" i="4"/>
  <c r="E53" i="4"/>
  <c r="H53" i="4" s="1"/>
  <c r="G54" i="4"/>
  <c r="E54" i="4"/>
  <c r="H54" i="4" s="1"/>
  <c r="G56" i="4"/>
  <c r="E56" i="4"/>
  <c r="H56" i="4" s="1"/>
  <c r="G57" i="4"/>
  <c r="E57" i="4"/>
  <c r="H57" i="4" s="1"/>
  <c r="B45" i="6" l="1"/>
  <c r="C45" i="6" s="1"/>
  <c r="B45" i="4"/>
  <c r="C45" i="4" s="1"/>
  <c r="B10" i="3"/>
  <c r="C10" i="3" s="1"/>
  <c r="B10" i="2"/>
  <c r="C10" i="2" s="1"/>
  <c r="C11" i="1"/>
  <c r="H2" i="2"/>
  <c r="G2" i="2"/>
  <c r="H20" i="2"/>
  <c r="G20" i="2"/>
  <c r="G31" i="2"/>
  <c r="H31" i="2"/>
  <c r="H16" i="2"/>
  <c r="G16" i="2"/>
  <c r="G46" i="2"/>
  <c r="H46" i="2"/>
  <c r="H49" i="2"/>
  <c r="G49" i="2"/>
  <c r="H50" i="2"/>
  <c r="G50" i="2"/>
  <c r="H23" i="2"/>
  <c r="G23" i="2"/>
  <c r="H38" i="2"/>
  <c r="G38" i="2"/>
  <c r="H47" i="2"/>
  <c r="G47" i="2"/>
  <c r="H15" i="2"/>
  <c r="G15" i="2"/>
  <c r="H54" i="2"/>
  <c r="G54" i="2"/>
  <c r="H35" i="2"/>
  <c r="G35" i="2"/>
  <c r="H6" i="2"/>
  <c r="G6" i="2"/>
  <c r="H30" i="2"/>
  <c r="G30" i="2"/>
  <c r="H10" i="2"/>
  <c r="G10" i="2"/>
  <c r="G40" i="2"/>
  <c r="H40" i="2"/>
  <c r="H17" i="2"/>
  <c r="G17" i="2"/>
  <c r="G51" i="2"/>
  <c r="H51" i="2"/>
  <c r="G8" i="2"/>
  <c r="H8" i="2"/>
  <c r="G3" i="2"/>
  <c r="L47" i="2"/>
  <c r="H3" i="2"/>
  <c r="G24" i="2"/>
  <c r="H24" i="2"/>
  <c r="G25" i="2"/>
  <c r="H25" i="2"/>
  <c r="H34" i="2"/>
  <c r="G34" i="2"/>
  <c r="H44" i="2"/>
  <c r="G44" i="2"/>
  <c r="H42" i="2"/>
  <c r="G42" i="2"/>
  <c r="G12" i="2"/>
  <c r="H12" i="2"/>
  <c r="G26" i="2"/>
  <c r="H26" i="2"/>
  <c r="G21" i="2"/>
  <c r="H21" i="2"/>
  <c r="G43" i="2"/>
  <c r="H43" i="2"/>
  <c r="G56" i="2"/>
  <c r="H56" i="2"/>
  <c r="H29" i="2"/>
  <c r="G29" i="2"/>
  <c r="H57" i="2"/>
  <c r="G57" i="2"/>
  <c r="G55" i="2"/>
  <c r="H55" i="2"/>
  <c r="H48" i="2"/>
  <c r="G48" i="2"/>
  <c r="H11" i="2"/>
  <c r="G11" i="2"/>
  <c r="H37" i="2"/>
  <c r="G37" i="2"/>
  <c r="G5" i="2"/>
  <c r="H5" i="2"/>
  <c r="G39" i="2"/>
  <c r="H39" i="2"/>
  <c r="H52" i="2"/>
  <c r="G52" i="2"/>
  <c r="G28" i="2"/>
  <c r="H28" i="2"/>
  <c r="H41" i="2"/>
  <c r="G41" i="2"/>
  <c r="G14" i="2"/>
  <c r="H14" i="2"/>
  <c r="G13" i="2"/>
  <c r="H13" i="2"/>
  <c r="G19" i="2"/>
  <c r="H19" i="2"/>
  <c r="G7" i="2"/>
  <c r="H7" i="2"/>
  <c r="G32" i="2"/>
  <c r="H32" i="2"/>
  <c r="H33" i="2"/>
  <c r="G33" i="2"/>
  <c r="G27" i="2"/>
  <c r="H27" i="2"/>
  <c r="G22" i="2"/>
  <c r="H22" i="2"/>
  <c r="H53" i="2"/>
  <c r="G53" i="2"/>
  <c r="G18" i="2"/>
  <c r="H18" i="2"/>
  <c r="H4" i="2"/>
  <c r="G4" i="2"/>
  <c r="G9" i="2"/>
  <c r="H9" i="2"/>
  <c r="H45" i="2"/>
  <c r="G45" i="2"/>
  <c r="H36" i="2"/>
  <c r="L48" i="2"/>
  <c r="L49" i="2" s="1"/>
  <c r="G36" i="2"/>
</calcChain>
</file>

<file path=xl/comments1.xml><?xml version="1.0" encoding="utf-8"?>
<comments xmlns="http://schemas.openxmlformats.org/spreadsheetml/2006/main">
  <authors>
    <author/>
  </authors>
  <commentList>
    <comment ref="C17" authorId="0" shapeId="0">
      <text>
        <r>
          <rPr>
            <sz val="11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certificado.</t>
        </r>
      </text>
    </comment>
    <comment ref="C18" authorId="0" shapeId="0">
      <text>
        <r>
          <rPr>
            <sz val="11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certificado.</t>
        </r>
      </text>
    </comment>
  </commentList>
</comments>
</file>

<file path=xl/sharedStrings.xml><?xml version="1.0" encoding="utf-8"?>
<sst xmlns="http://schemas.openxmlformats.org/spreadsheetml/2006/main" count="226" uniqueCount="50">
  <si>
    <t>Ano</t>
  </si>
  <si>
    <t>Data</t>
  </si>
  <si>
    <t>Mês</t>
  </si>
  <si>
    <t>M2</t>
  </si>
  <si>
    <t>Qte C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</si>
  <si>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</si>
  <si>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</si>
  <si>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</si>
  <si>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</si>
  <si>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</si>
  <si>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</si>
  <si>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</si>
  <si>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</si>
  <si>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</si>
  <si>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</si>
  <si>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</si>
  <si>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</si>
  <si>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Nome do mês</t>
  </si>
  <si>
    <t>Consumo em litros</t>
  </si>
  <si>
    <t>Qte colaboradores</t>
  </si>
  <si>
    <t>Qte metros quadrados</t>
  </si>
  <si>
    <t>Qte litros agua por colaborador</t>
  </si>
  <si>
    <t>Qte litros de agua por metro quadrado</t>
  </si>
  <si>
    <t>É o mês da Referência = 03/2024</t>
  </si>
  <si>
    <t>Valor</t>
  </si>
  <si>
    <t>Consumo total em KWh</t>
  </si>
  <si>
    <t>Qte KWh por colaborador</t>
  </si>
  <si>
    <t>Qte KWh por metro quadrado</t>
  </si>
  <si>
    <t>É o mês da Referência = 02/2024</t>
  </si>
  <si>
    <t>Quantidade de impressões</t>
  </si>
  <si>
    <t>Impressões em KG</t>
  </si>
  <si>
    <t>Qte impressões por colaboradores</t>
  </si>
  <si>
    <t>Qte Kg papel  por colaboradores</t>
  </si>
  <si>
    <t>Ou seja, o que o Geraldo mandou no NF contratos em maio preenchemos a coluna de abril.</t>
  </si>
  <si>
    <t>CO² terrestre liberado em KG</t>
  </si>
  <si>
    <t>Qte km rodado</t>
  </si>
  <si>
    <t>Qte kg CO2 para cada 100km rodado</t>
  </si>
  <si>
    <t>CO² aéreo liberado em KG</t>
  </si>
  <si>
    <t>Qte Viajantes</t>
  </si>
  <si>
    <t>Qte kg CO2 por Viajante</t>
  </si>
  <si>
    <t>Qte KG copo descartavel</t>
  </si>
  <si>
    <t>Qte kg copos plastico por colaborador</t>
  </si>
  <si>
    <t>Qte KG residuo comum</t>
  </si>
  <si>
    <t>Qte kg residuo comum por colaborador</t>
  </si>
  <si>
    <t>Qte kg Residuos reciclados</t>
  </si>
  <si>
    <t>Pilha</t>
  </si>
  <si>
    <t>Papelão e  Papel</t>
  </si>
  <si>
    <t>Vidro</t>
  </si>
  <si>
    <t>Plástico</t>
  </si>
  <si>
    <t>Eletrônicos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</si>
</sst>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R$&quot;\ #,##0.00"/>
    <numFmt numFmtId="166" formatCode="_-[$R$-416]\ * #,##0.00_-;\-[$R$-416]\ * #,##0.00_-;_-[$R$-416]\ * &quot;-&quot;??_-;_-@"/>
    <numFmt numFmtId="167" formatCode="#,##0.000"/>
    <numFmt numFmtId="168" formatCode="0.000000"/>
    <numFmt numFmtId="169" formatCode="0.0"/>
    <numFmt numFmtId="170" formatCode="0.000"/>
  </numFmts>
  <fonts count="5">
    <font>
      <sz val="11"/>
      <name val="Calibri"/>
      <scheme val="minor"/>
    </font>
    <font>
      <sz val="11"/>
      <name val="Calibri"/>
    </font>
    <font>
      <b/>
      <sz val="11"/>
      <name val="Calibri"/>
    </font>
    <font>
      <sz val="11"/>
      <color rgb="FFFF0000"/>
      <name val="Calibri"/>
    </font>
    <font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385623"/>
        <bgColor rgb="FF385623"/>
      </patternFill>
    </fill>
    <fill>
      <patternFill patternType="solid">
        <fgColor rgb="FFFF0000"/>
        <bgColor rgb="FFFF0000"/>
      </patternFill>
    </fill>
    <fill>
      <patternFill patternType="solid">
        <fgColor rgb="FF0C0C0C"/>
        <bgColor rgb="FF0C0C0C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" fontId="1" fillId="7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1" fillId="7" borderId="1" xfId="0" applyNumberFormat="1" applyFont="1" applyFill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2" fontId="1" fillId="7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6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left"/>
    </xf>
    <xf numFmtId="3" fontId="1" fillId="7" borderId="1" xfId="0" applyNumberFormat="1" applyFont="1" applyFill="1" applyBorder="1" applyAlignment="1">
      <alignment horizontal="center" vertical="center"/>
    </xf>
    <xf numFmtId="169" fontId="1" fillId="7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170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167" fontId="1" fillId="0" borderId="1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/>
    </xf>
    <xf numFmtId="167" fontId="1" fillId="7" borderId="1" xfId="0" applyNumberFormat="1" applyFont="1" applyFill="1" applyBorder="1" applyAlignment="1">
      <alignment horizontal="center" vertical="center"/>
    </xf>
    <xf numFmtId="168" fontId="1" fillId="7" borderId="1" xfId="0" applyNumberFormat="1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8334375" cy="5657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5600700" cy="62960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0</xdr:row>
      <xdr:rowOff>0</xdr:rowOff>
    </xdr:from>
    <xdr:ext cx="5667375" cy="62579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238125</xdr:colOff>
      <xdr:row>0</xdr:row>
      <xdr:rowOff>171450</xdr:rowOff>
    </xdr:from>
    <xdr:ext cx="9001125" cy="35909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"/>
  <sheetViews>
    <sheetView showGridLines="0" workbookViewId="0">
      <selection activeCell="U15" sqref="U15"/>
    </sheetView>
  </sheetViews>
  <sheetFormatPr defaultColWidth="14.42578125" defaultRowHeight="15" customHeight="1"/>
  <cols>
    <col min="1" max="1" width="5" customWidth="1"/>
    <col min="2" max="2" width="10.7109375" customWidth="1"/>
    <col min="3" max="3" width="10.140625" customWidth="1"/>
    <col min="4" max="4" width="5" customWidth="1"/>
    <col min="5" max="5" width="5.85546875" customWidth="1"/>
    <col min="6" max="6" width="1.28515625" customWidth="1"/>
    <col min="7" max="7" width="5" customWidth="1"/>
    <col min="8" max="8" width="10.7109375" customWidth="1"/>
    <col min="9" max="9" width="10.140625" customWidth="1"/>
    <col min="10" max="10" width="5" customWidth="1"/>
    <col min="11" max="11" width="5.85546875" customWidth="1"/>
    <col min="12" max="12" width="1.42578125" customWidth="1"/>
    <col min="13" max="13" width="5" customWidth="1"/>
    <col min="14" max="14" width="10.7109375" customWidth="1"/>
    <col min="15" max="15" width="10.140625" customWidth="1"/>
    <col min="16" max="16" width="5" customWidth="1"/>
    <col min="17" max="17" width="5.85546875" customWidth="1"/>
    <col min="18" max="18" width="1.7109375" customWidth="1"/>
    <col min="19" max="19" width="5" customWidth="1"/>
    <col min="20" max="20" width="10.7109375" customWidth="1"/>
    <col min="21" max="21" width="10.140625" customWidth="1"/>
    <col min="22" max="22" width="5" customWidth="1"/>
    <col min="23" max="23" width="5.85546875" customWidth="1"/>
    <col min="24" max="24" width="2" customWidth="1"/>
    <col min="25" max="25" width="5" customWidth="1"/>
    <col min="26" max="26" width="10.7109375" customWidth="1"/>
    <col min="27" max="27" width="10.140625" customWidth="1"/>
    <col min="28" max="28" width="5" customWidth="1"/>
    <col min="29" max="29" width="5.85546875" customWidth="1"/>
  </cols>
  <sheetData>
    <row r="1" spans="1:2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/>
      <c r="G2" s="5" t="s">
        <v>0</v>
      </c>
      <c r="H2" s="5" t="s">
        <v>1</v>
      </c>
      <c r="I2" s="5" t="s">
        <v>2</v>
      </c>
      <c r="J2" s="6" t="s">
        <v>3</v>
      </c>
      <c r="K2" s="6" t="s">
        <v>4</v>
      </c>
      <c r="L2" s="4"/>
      <c r="M2" s="7" t="s">
        <v>0</v>
      </c>
      <c r="N2" s="7" t="s">
        <v>1</v>
      </c>
      <c r="O2" s="7" t="s">
        <v>2</v>
      </c>
      <c r="P2" s="8" t="s">
        <v>3</v>
      </c>
      <c r="Q2" s="8" t="s">
        <v>4</v>
      </c>
      <c r="R2" s="4"/>
      <c r="S2" s="9" t="s">
        <v>0</v>
      </c>
      <c r="T2" s="9" t="s">
        <v>1</v>
      </c>
      <c r="U2" s="9" t="s">
        <v>2</v>
      </c>
      <c r="V2" s="10" t="s">
        <v>3</v>
      </c>
      <c r="W2" s="10" t="s">
        <v>4</v>
      </c>
      <c r="X2" s="4"/>
      <c r="Y2" s="11" t="s">
        <v>0</v>
      </c>
      <c r="Z2" s="11" t="s">
        <v>1</v>
      </c>
      <c r="AA2" s="11" t="s">
        <v>2</v>
      </c>
      <c r="AB2" s="12" t="s">
        <v>3</v>
      </c>
      <c r="AC2" s="12" t="s">
        <v>4</v>
      </c>
    </row>
    <row r="3" spans="1:29">
      <c r="A3" s="13">
        <v>2021</v>
      </c>
      <c r="B3" s="14">
        <v>44197</v>
      </c>
      <c r="C3" s="13" t="str">
        <f t="shared" ref="C3:C14" si="0">TEXT(B3,"mmmm")</f>
        <v>janeiro</v>
      </c>
      <c r="D3" s="13">
        <v>3041</v>
      </c>
      <c r="E3" s="13">
        <v>200</v>
      </c>
      <c r="F3" s="4"/>
      <c r="G3" s="13">
        <v>2022</v>
      </c>
      <c r="H3" s="14">
        <v>44562</v>
      </c>
      <c r="I3" s="13" t="s">
        <v>5</v>
      </c>
      <c r="J3" s="13">
        <v>3041</v>
      </c>
      <c r="K3" s="13">
        <v>222</v>
      </c>
      <c r="L3" s="4"/>
      <c r="M3" s="13">
        <v>2023</v>
      </c>
      <c r="N3" s="14">
        <v>44927</v>
      </c>
      <c r="O3" s="13" t="s">
        <v>5</v>
      </c>
      <c r="P3" s="13">
        <v>3041</v>
      </c>
      <c r="Q3" s="13">
        <v>236</v>
      </c>
      <c r="R3" s="4"/>
      <c r="S3" s="13">
        <v>2024</v>
      </c>
      <c r="T3" s="14">
        <v>45292</v>
      </c>
      <c r="U3" s="13" t="s">
        <v>5</v>
      </c>
      <c r="V3" s="13">
        <v>3041</v>
      </c>
      <c r="W3" s="13">
        <v>250</v>
      </c>
      <c r="X3" s="4"/>
      <c r="Y3" s="13">
        <v>2025</v>
      </c>
      <c r="Z3" s="14">
        <v>45658</v>
      </c>
      <c r="AA3" s="13" t="s">
        <v>5</v>
      </c>
      <c r="AB3" s="13">
        <v>3041</v>
      </c>
      <c r="AC3" s="13">
        <v>287</v>
      </c>
    </row>
    <row r="4" spans="1:29">
      <c r="A4" s="13">
        <v>2021</v>
      </c>
      <c r="B4" s="14">
        <v>44228</v>
      </c>
      <c r="C4" s="13" t="str">
        <f t="shared" si="0"/>
        <v>fevereiro</v>
      </c>
      <c r="D4" s="13">
        <v>3041</v>
      </c>
      <c r="E4" s="13">
        <v>200</v>
      </c>
      <c r="F4" s="4"/>
      <c r="G4" s="13">
        <v>2022</v>
      </c>
      <c r="H4" s="14">
        <v>44593</v>
      </c>
      <c r="I4" s="13" t="s">
        <v>6</v>
      </c>
      <c r="J4" s="13">
        <v>3041</v>
      </c>
      <c r="K4" s="13">
        <v>220</v>
      </c>
      <c r="L4" s="4"/>
      <c r="M4" s="13">
        <v>2023</v>
      </c>
      <c r="N4" s="14">
        <v>44958</v>
      </c>
      <c r="O4" s="13" t="s">
        <v>6</v>
      </c>
      <c r="P4" s="13">
        <v>3041</v>
      </c>
      <c r="Q4" s="13">
        <v>230</v>
      </c>
      <c r="R4" s="4"/>
      <c r="S4" s="13">
        <v>2024</v>
      </c>
      <c r="T4" s="14">
        <v>45323</v>
      </c>
      <c r="U4" s="13" t="s">
        <v>6</v>
      </c>
      <c r="V4" s="13">
        <v>3041</v>
      </c>
      <c r="W4" s="13">
        <v>249</v>
      </c>
      <c r="X4" s="4"/>
      <c r="Y4" s="13">
        <v>2025</v>
      </c>
      <c r="Z4" s="14">
        <v>45689</v>
      </c>
      <c r="AA4" s="13" t="s">
        <v>6</v>
      </c>
      <c r="AB4" s="13">
        <v>3041</v>
      </c>
      <c r="AC4" s="13">
        <v>294</v>
      </c>
    </row>
    <row r="5" spans="1:29">
      <c r="A5" s="13">
        <v>2021</v>
      </c>
      <c r="B5" s="14">
        <v>44256</v>
      </c>
      <c r="C5" s="13" t="str">
        <f t="shared" si="0"/>
        <v>março</v>
      </c>
      <c r="D5" s="13">
        <v>3041</v>
      </c>
      <c r="E5" s="13">
        <v>201</v>
      </c>
      <c r="F5" s="4"/>
      <c r="G5" s="13">
        <v>2022</v>
      </c>
      <c r="H5" s="14">
        <v>44621</v>
      </c>
      <c r="I5" s="13" t="s">
        <v>7</v>
      </c>
      <c r="J5" s="13">
        <v>3041</v>
      </c>
      <c r="K5" s="13">
        <v>221</v>
      </c>
      <c r="L5" s="4"/>
      <c r="M5" s="13">
        <v>2023</v>
      </c>
      <c r="N5" s="14">
        <v>44986</v>
      </c>
      <c r="O5" s="13" t="s">
        <v>7</v>
      </c>
      <c r="P5" s="13">
        <v>3041</v>
      </c>
      <c r="Q5" s="13">
        <v>234</v>
      </c>
      <c r="R5" s="4"/>
      <c r="S5" s="13">
        <v>2024</v>
      </c>
      <c r="T5" s="14">
        <v>45352</v>
      </c>
      <c r="U5" s="13" t="s">
        <v>7</v>
      </c>
      <c r="V5" s="13">
        <v>3041</v>
      </c>
      <c r="W5" s="13">
        <v>250</v>
      </c>
      <c r="X5" s="4"/>
      <c r="Y5" s="13">
        <v>2025</v>
      </c>
      <c r="Z5" s="14">
        <v>45717</v>
      </c>
      <c r="AA5" s="13" t="s">
        <v>7</v>
      </c>
      <c r="AB5" s="13">
        <v>3041</v>
      </c>
      <c r="AC5" s="13">
        <v>294</v>
      </c>
    </row>
    <row r="6" spans="1:29">
      <c r="A6" s="13">
        <v>2021</v>
      </c>
      <c r="B6" s="14">
        <f>B5+31</f>
        <v>44287</v>
      </c>
      <c r="C6" s="13" t="str">
        <f t="shared" si="0"/>
        <v>abril</v>
      </c>
      <c r="D6" s="13">
        <v>3041</v>
      </c>
      <c r="E6" s="13">
        <v>204</v>
      </c>
      <c r="F6" s="4"/>
      <c r="G6" s="13">
        <v>2022</v>
      </c>
      <c r="H6" s="14">
        <v>44652</v>
      </c>
      <c r="I6" s="13" t="s">
        <v>8</v>
      </c>
      <c r="J6" s="13">
        <v>3041</v>
      </c>
      <c r="K6" s="13">
        <v>232</v>
      </c>
      <c r="L6" s="4"/>
      <c r="M6" s="13">
        <v>2023</v>
      </c>
      <c r="N6" s="14">
        <v>45017</v>
      </c>
      <c r="O6" s="13" t="s">
        <v>8</v>
      </c>
      <c r="P6" s="13">
        <v>3041</v>
      </c>
      <c r="Q6" s="13">
        <v>236</v>
      </c>
      <c r="R6" s="4"/>
      <c r="S6" s="13">
        <v>2024</v>
      </c>
      <c r="T6" s="14">
        <v>45383</v>
      </c>
      <c r="U6" s="13" t="s">
        <v>8</v>
      </c>
      <c r="V6" s="13">
        <v>3041</v>
      </c>
      <c r="W6" s="13">
        <v>259</v>
      </c>
      <c r="X6" s="4"/>
      <c r="Y6" s="13">
        <v>2025</v>
      </c>
      <c r="Z6" s="14">
        <v>45748</v>
      </c>
      <c r="AA6" s="13" t="s">
        <v>8</v>
      </c>
      <c r="AB6" s="13"/>
      <c r="AC6" s="13"/>
    </row>
    <row r="7" spans="1:29">
      <c r="A7" s="13">
        <v>2021</v>
      </c>
      <c r="B7" s="14">
        <v>44317</v>
      </c>
      <c r="C7" s="13" t="str">
        <f t="shared" si="0"/>
        <v>maio</v>
      </c>
      <c r="D7" s="13">
        <v>3041</v>
      </c>
      <c r="E7" s="13">
        <v>199</v>
      </c>
      <c r="F7" s="4"/>
      <c r="G7" s="13">
        <v>2022</v>
      </c>
      <c r="H7" s="14">
        <v>44682</v>
      </c>
      <c r="I7" s="13" t="s">
        <v>9</v>
      </c>
      <c r="J7" s="13">
        <v>3041</v>
      </c>
      <c r="K7" s="13">
        <v>227</v>
      </c>
      <c r="L7" s="4"/>
      <c r="M7" s="13">
        <v>2023</v>
      </c>
      <c r="N7" s="14">
        <v>45047</v>
      </c>
      <c r="O7" s="13" t="s">
        <v>9</v>
      </c>
      <c r="P7" s="13">
        <v>3041</v>
      </c>
      <c r="Q7" s="13">
        <v>237</v>
      </c>
      <c r="R7" s="4"/>
      <c r="S7" s="13">
        <v>2024</v>
      </c>
      <c r="T7" s="14">
        <v>45413</v>
      </c>
      <c r="U7" s="13" t="s">
        <v>9</v>
      </c>
      <c r="V7" s="13">
        <v>3041</v>
      </c>
      <c r="W7" s="13">
        <v>257</v>
      </c>
      <c r="X7" s="4"/>
      <c r="Y7" s="13">
        <v>2025</v>
      </c>
      <c r="Z7" s="14">
        <v>45778</v>
      </c>
      <c r="AA7" s="13" t="s">
        <v>9</v>
      </c>
      <c r="AB7" s="13"/>
      <c r="AC7" s="13"/>
    </row>
    <row r="8" spans="1:29">
      <c r="A8" s="13">
        <v>2021</v>
      </c>
      <c r="B8" s="14">
        <f>B7+31</f>
        <v>44348</v>
      </c>
      <c r="C8" s="13" t="str">
        <f t="shared" si="0"/>
        <v>junho</v>
      </c>
      <c r="D8" s="13">
        <v>3041</v>
      </c>
      <c r="E8" s="13">
        <v>208</v>
      </c>
      <c r="F8" s="4"/>
      <c r="G8" s="13">
        <v>2022</v>
      </c>
      <c r="H8" s="14">
        <v>44713</v>
      </c>
      <c r="I8" s="13" t="s">
        <v>10</v>
      </c>
      <c r="J8" s="13">
        <v>3041</v>
      </c>
      <c r="K8" s="13">
        <v>229</v>
      </c>
      <c r="L8" s="4"/>
      <c r="M8" s="13">
        <v>2023</v>
      </c>
      <c r="N8" s="14">
        <v>45078</v>
      </c>
      <c r="O8" s="13" t="s">
        <v>10</v>
      </c>
      <c r="P8" s="13">
        <v>3041</v>
      </c>
      <c r="Q8" s="13">
        <v>239</v>
      </c>
      <c r="R8" s="4"/>
      <c r="S8" s="13">
        <v>2024</v>
      </c>
      <c r="T8" s="14">
        <v>45444</v>
      </c>
      <c r="U8" s="13" t="s">
        <v>10</v>
      </c>
      <c r="V8" s="13">
        <v>3041</v>
      </c>
      <c r="W8" s="13">
        <v>255</v>
      </c>
      <c r="X8" s="4"/>
      <c r="Y8" s="13">
        <v>2025</v>
      </c>
      <c r="Z8" s="14">
        <v>45809</v>
      </c>
      <c r="AA8" s="13" t="s">
        <v>10</v>
      </c>
      <c r="AB8" s="13"/>
      <c r="AC8" s="13"/>
    </row>
    <row r="9" spans="1:29">
      <c r="A9" s="13">
        <v>2021</v>
      </c>
      <c r="B9" s="14">
        <v>44378</v>
      </c>
      <c r="C9" s="13" t="str">
        <f t="shared" si="0"/>
        <v>julho</v>
      </c>
      <c r="D9" s="13">
        <v>3041</v>
      </c>
      <c r="E9" s="13">
        <v>209</v>
      </c>
      <c r="F9" s="4"/>
      <c r="G9" s="13">
        <v>2022</v>
      </c>
      <c r="H9" s="14">
        <v>44743</v>
      </c>
      <c r="I9" s="13" t="s">
        <v>11</v>
      </c>
      <c r="J9" s="13">
        <v>3041</v>
      </c>
      <c r="K9" s="13">
        <v>234</v>
      </c>
      <c r="L9" s="4"/>
      <c r="M9" s="13">
        <v>2023</v>
      </c>
      <c r="N9" s="14">
        <v>45108</v>
      </c>
      <c r="O9" s="13" t="s">
        <v>11</v>
      </c>
      <c r="P9" s="13">
        <v>3041</v>
      </c>
      <c r="Q9" s="13">
        <v>248</v>
      </c>
      <c r="R9" s="4"/>
      <c r="S9" s="13">
        <v>2024</v>
      </c>
      <c r="T9" s="14">
        <v>45474</v>
      </c>
      <c r="U9" s="13" t="s">
        <v>11</v>
      </c>
      <c r="V9" s="13">
        <v>3041</v>
      </c>
      <c r="W9" s="13">
        <v>262</v>
      </c>
      <c r="X9" s="4"/>
      <c r="Y9" s="13">
        <v>2025</v>
      </c>
      <c r="Z9" s="14">
        <v>45839</v>
      </c>
      <c r="AA9" s="13" t="s">
        <v>11</v>
      </c>
      <c r="AB9" s="13"/>
      <c r="AC9" s="13"/>
    </row>
    <row r="10" spans="1:29">
      <c r="A10" s="13">
        <v>2021</v>
      </c>
      <c r="B10" s="14">
        <f>B9+31</f>
        <v>44409</v>
      </c>
      <c r="C10" s="13" t="str">
        <f t="shared" si="0"/>
        <v>agosto</v>
      </c>
      <c r="D10" s="13">
        <v>3041</v>
      </c>
      <c r="E10" s="13">
        <v>203</v>
      </c>
      <c r="F10" s="4"/>
      <c r="G10" s="13">
        <v>2022</v>
      </c>
      <c r="H10" s="14">
        <v>44774</v>
      </c>
      <c r="I10" s="13" t="s">
        <v>12</v>
      </c>
      <c r="J10" s="13">
        <v>3041</v>
      </c>
      <c r="K10" s="13">
        <v>229</v>
      </c>
      <c r="L10" s="4"/>
      <c r="M10" s="13">
        <v>2023</v>
      </c>
      <c r="N10" s="14">
        <v>45139</v>
      </c>
      <c r="O10" s="13" t="s">
        <v>12</v>
      </c>
      <c r="P10" s="13">
        <v>3041</v>
      </c>
      <c r="Q10" s="13">
        <v>248</v>
      </c>
      <c r="R10" s="4"/>
      <c r="S10" s="13">
        <v>2024</v>
      </c>
      <c r="T10" s="14">
        <v>45505</v>
      </c>
      <c r="U10" s="13" t="s">
        <v>12</v>
      </c>
      <c r="V10" s="13">
        <v>3041</v>
      </c>
      <c r="W10" s="13">
        <v>258</v>
      </c>
      <c r="X10" s="4"/>
      <c r="Y10" s="13">
        <v>2025</v>
      </c>
      <c r="Z10" s="14">
        <v>45870</v>
      </c>
      <c r="AA10" s="13" t="s">
        <v>12</v>
      </c>
      <c r="AB10" s="13"/>
      <c r="AC10" s="13"/>
    </row>
    <row r="11" spans="1:29">
      <c r="A11" s="13">
        <v>2021</v>
      </c>
      <c r="B11" s="14">
        <f>B10+31</f>
        <v>44440</v>
      </c>
      <c r="C11" s="13" t="str">
        <f t="shared" si="0"/>
        <v>setembro</v>
      </c>
      <c r="D11" s="13">
        <v>3041</v>
      </c>
      <c r="E11" s="13">
        <v>211</v>
      </c>
      <c r="F11" s="4"/>
      <c r="G11" s="13">
        <v>2022</v>
      </c>
      <c r="H11" s="14">
        <v>44805</v>
      </c>
      <c r="I11" s="13" t="s">
        <v>13</v>
      </c>
      <c r="J11" s="13">
        <v>3041</v>
      </c>
      <c r="K11" s="13">
        <v>231</v>
      </c>
      <c r="L11" s="4"/>
      <c r="M11" s="13">
        <v>2023</v>
      </c>
      <c r="N11" s="14">
        <v>45170</v>
      </c>
      <c r="O11" s="13" t="s">
        <v>13</v>
      </c>
      <c r="P11" s="13">
        <v>3041</v>
      </c>
      <c r="Q11" s="13">
        <v>248</v>
      </c>
      <c r="R11" s="4"/>
      <c r="S11" s="13">
        <v>2024</v>
      </c>
      <c r="T11" s="14">
        <v>45536</v>
      </c>
      <c r="U11" s="13" t="s">
        <v>13</v>
      </c>
      <c r="V11" s="13">
        <v>3041</v>
      </c>
      <c r="W11" s="13">
        <v>258</v>
      </c>
      <c r="X11" s="4"/>
      <c r="Y11" s="13">
        <v>2025</v>
      </c>
      <c r="Z11" s="14">
        <v>45901</v>
      </c>
      <c r="AA11" s="13" t="s">
        <v>13</v>
      </c>
      <c r="AB11" s="13"/>
      <c r="AC11" s="13"/>
    </row>
    <row r="12" spans="1:29">
      <c r="A12" s="13">
        <v>2021</v>
      </c>
      <c r="B12" s="14">
        <v>44470</v>
      </c>
      <c r="C12" s="13" t="str">
        <f t="shared" si="0"/>
        <v>outubro</v>
      </c>
      <c r="D12" s="13">
        <v>3041</v>
      </c>
      <c r="E12" s="13">
        <v>219</v>
      </c>
      <c r="F12" s="4"/>
      <c r="G12" s="13">
        <v>2022</v>
      </c>
      <c r="H12" s="14">
        <v>44835</v>
      </c>
      <c r="I12" s="13" t="s">
        <v>14</v>
      </c>
      <c r="J12" s="13">
        <v>3041</v>
      </c>
      <c r="K12" s="13">
        <v>231</v>
      </c>
      <c r="L12" s="4"/>
      <c r="M12" s="13">
        <v>2023</v>
      </c>
      <c r="N12" s="14">
        <v>45200</v>
      </c>
      <c r="O12" s="13" t="s">
        <v>14</v>
      </c>
      <c r="P12" s="13">
        <v>3041</v>
      </c>
      <c r="Q12" s="13">
        <v>247</v>
      </c>
      <c r="R12" s="4"/>
      <c r="S12" s="13">
        <v>2024</v>
      </c>
      <c r="T12" s="14">
        <v>45566</v>
      </c>
      <c r="U12" s="13" t="s">
        <v>14</v>
      </c>
      <c r="V12" s="13">
        <v>3041</v>
      </c>
      <c r="W12" s="13">
        <v>264</v>
      </c>
      <c r="X12" s="4"/>
      <c r="Y12" s="13">
        <v>2025</v>
      </c>
      <c r="Z12" s="14">
        <v>45931</v>
      </c>
      <c r="AA12" s="13" t="s">
        <v>14</v>
      </c>
      <c r="AB12" s="13"/>
      <c r="AC12" s="13"/>
    </row>
    <row r="13" spans="1:29">
      <c r="A13" s="13">
        <v>2021</v>
      </c>
      <c r="B13" s="14">
        <f>B12+31</f>
        <v>44501</v>
      </c>
      <c r="C13" s="13" t="str">
        <f t="shared" si="0"/>
        <v>novembro</v>
      </c>
      <c r="D13" s="13">
        <v>3041</v>
      </c>
      <c r="E13" s="13">
        <v>219</v>
      </c>
      <c r="F13" s="4"/>
      <c r="G13" s="13">
        <v>2022</v>
      </c>
      <c r="H13" s="14">
        <v>44866</v>
      </c>
      <c r="I13" s="13" t="s">
        <v>15</v>
      </c>
      <c r="J13" s="13">
        <v>3041</v>
      </c>
      <c r="K13" s="13">
        <v>234</v>
      </c>
      <c r="L13" s="4"/>
      <c r="M13" s="13">
        <v>2023</v>
      </c>
      <c r="N13" s="14">
        <v>45231</v>
      </c>
      <c r="O13" s="13" t="s">
        <v>15</v>
      </c>
      <c r="P13" s="13">
        <v>3041</v>
      </c>
      <c r="Q13" s="13">
        <v>246</v>
      </c>
      <c r="R13" s="4"/>
      <c r="S13" s="13">
        <v>2024</v>
      </c>
      <c r="T13" s="14">
        <v>45597</v>
      </c>
      <c r="U13" s="13" t="s">
        <v>15</v>
      </c>
      <c r="V13" s="13">
        <v>3041</v>
      </c>
      <c r="W13" s="13">
        <v>266</v>
      </c>
      <c r="X13" s="4"/>
      <c r="Y13" s="13">
        <v>2025</v>
      </c>
      <c r="Z13" s="14">
        <v>45962</v>
      </c>
      <c r="AA13" s="13" t="s">
        <v>15</v>
      </c>
      <c r="AB13" s="13"/>
      <c r="AC13" s="13"/>
    </row>
    <row r="14" spans="1:29">
      <c r="A14" s="13">
        <v>2021</v>
      </c>
      <c r="B14" s="14">
        <v>44531</v>
      </c>
      <c r="C14" s="13" t="str">
        <f t="shared" si="0"/>
        <v>dezembro</v>
      </c>
      <c r="D14" s="13">
        <v>3041</v>
      </c>
      <c r="E14" s="13">
        <v>220</v>
      </c>
      <c r="F14" s="4"/>
      <c r="G14" s="13">
        <v>2022</v>
      </c>
      <c r="H14" s="14">
        <v>44896</v>
      </c>
      <c r="I14" s="13" t="s">
        <v>16</v>
      </c>
      <c r="J14" s="13">
        <v>3041</v>
      </c>
      <c r="K14" s="13">
        <v>237</v>
      </c>
      <c r="L14" s="4"/>
      <c r="M14" s="13">
        <v>2023</v>
      </c>
      <c r="N14" s="14">
        <v>45261</v>
      </c>
      <c r="O14" s="13" t="s">
        <v>16</v>
      </c>
      <c r="P14" s="13">
        <v>3041</v>
      </c>
      <c r="Q14" s="13">
        <v>243</v>
      </c>
      <c r="R14" s="4"/>
      <c r="S14" s="13">
        <v>2024</v>
      </c>
      <c r="T14" s="14">
        <v>45627</v>
      </c>
      <c r="U14" s="13" t="s">
        <v>16</v>
      </c>
      <c r="V14" s="13">
        <v>3041</v>
      </c>
      <c r="W14" s="13">
        <v>278</v>
      </c>
      <c r="X14" s="4"/>
      <c r="Y14" s="13">
        <v>2025</v>
      </c>
      <c r="Z14" s="14">
        <v>45992</v>
      </c>
      <c r="AA14" s="13" t="s">
        <v>16</v>
      </c>
      <c r="AB14" s="13"/>
      <c r="AC14" s="13"/>
    </row>
    <row r="15" spans="1:29">
      <c r="A15" s="1"/>
      <c r="B15" s="1"/>
      <c r="C15" s="1"/>
      <c r="D15" s="1"/>
      <c r="E15" s="1">
        <f>SUM(E3:E14)</f>
        <v>2493</v>
      </c>
      <c r="F15" s="1"/>
      <c r="G15" s="1"/>
      <c r="H15" s="1"/>
      <c r="I15" s="1"/>
      <c r="J15" s="1"/>
      <c r="K15" s="1">
        <f>SUM(K3:K14)</f>
        <v>2747</v>
      </c>
      <c r="L15" s="1"/>
      <c r="M15" s="1"/>
      <c r="N15" s="1"/>
      <c r="O15" s="1"/>
      <c r="P15" s="1"/>
      <c r="Q15" s="1">
        <f>SUM(Q3:Q14)</f>
        <v>2892</v>
      </c>
      <c r="R15" s="1"/>
      <c r="S15" s="1"/>
      <c r="T15" s="1"/>
      <c r="U15" s="1"/>
      <c r="V15" s="1"/>
      <c r="W15" s="1">
        <f>SUM(W3:W14)</f>
        <v>3106</v>
      </c>
      <c r="X15" s="1"/>
      <c r="Y15" s="1"/>
      <c r="Z15" s="1"/>
      <c r="AA15" s="1"/>
      <c r="AB15" s="1"/>
      <c r="AC15" s="1">
        <f>SUM(AC3:AC14)</f>
        <v>875</v>
      </c>
    </row>
    <row r="16" spans="1:2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</sheetData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"/>
  <sheetViews>
    <sheetView showGridLines="0" tabSelected="1" workbookViewId="0">
      <selection activeCell="D6" sqref="D6"/>
    </sheetView>
  </sheetViews>
  <sheetFormatPr defaultColWidth="14.42578125" defaultRowHeight="15" customHeight="1"/>
  <cols>
    <col min="1" max="1" width="9.140625" customWidth="1"/>
    <col min="2" max="2" width="18" customWidth="1"/>
    <col min="3" max="3" width="11.28515625" customWidth="1"/>
    <col min="4" max="4" width="17.85546875" customWidth="1"/>
    <col min="5" max="5" width="19.85546875" customWidth="1"/>
    <col min="6" max="6" width="21" customWidth="1"/>
    <col min="7" max="7" width="28.85546875" customWidth="1"/>
    <col min="8" max="8" width="35.5703125" customWidth="1"/>
    <col min="9" max="25" width="9.140625" customWidth="1"/>
  </cols>
  <sheetData>
    <row r="1" spans="1:25">
      <c r="A1" s="5" t="s">
        <v>0</v>
      </c>
      <c r="B1" s="5" t="s">
        <v>17</v>
      </c>
      <c r="C1" s="5" t="s">
        <v>2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3">
        <v>2021</v>
      </c>
      <c r="B2" s="14">
        <f>'Dados gerais'!B3</f>
        <v>44197</v>
      </c>
      <c r="C2" s="13" t="str">
        <f t="shared" ref="C2:C31" si="0">TEXT(B2,"mmmm")</f>
        <v>janeiro</v>
      </c>
      <c r="D2" s="1">
        <f ca="1">RANDBETWEEN(181200,344400)</f>
        <v>299308</v>
      </c>
      <c r="E2" s="13">
        <f>'Dados gerais'!E3</f>
        <v>200</v>
      </c>
      <c r="F2" s="13">
        <f>'Dados gerais'!D3</f>
        <v>3041</v>
      </c>
      <c r="G2" s="16">
        <f t="shared" ref="G2:G57" ca="1" si="1">D2/E2</f>
        <v>1496.54</v>
      </c>
      <c r="H2" s="16">
        <f t="shared" ref="H2:H57" ca="1" si="2">D2/F2</f>
        <v>98.424202564945745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3">
        <v>2021</v>
      </c>
      <c r="B3" s="14">
        <f>'Dados gerais'!B4</f>
        <v>44228</v>
      </c>
      <c r="C3" s="13" t="str">
        <f t="shared" si="0"/>
        <v>fevereiro</v>
      </c>
      <c r="D3" s="1">
        <f t="shared" ref="D3:D57" ca="1" si="3">RANDBETWEEN(181200,344400)</f>
        <v>299534</v>
      </c>
      <c r="E3" s="13">
        <f>'Dados gerais'!E4</f>
        <v>200</v>
      </c>
      <c r="F3" s="13">
        <f>'Dados gerais'!D4</f>
        <v>3041</v>
      </c>
      <c r="G3" s="16">
        <f t="shared" ca="1" si="1"/>
        <v>1497.67</v>
      </c>
      <c r="H3" s="16">
        <f t="shared" ca="1" si="2"/>
        <v>98.498520223610655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 t="s">
        <v>23</v>
      </c>
    </row>
    <row r="4" spans="1:25">
      <c r="A4" s="13">
        <v>2021</v>
      </c>
      <c r="B4" s="14">
        <f>'Dados gerais'!B5</f>
        <v>44256</v>
      </c>
      <c r="C4" s="13" t="str">
        <f t="shared" si="0"/>
        <v>março</v>
      </c>
      <c r="D4" s="1">
        <f t="shared" ca="1" si="3"/>
        <v>188175</v>
      </c>
      <c r="E4" s="13">
        <f>'Dados gerais'!E5</f>
        <v>201</v>
      </c>
      <c r="F4" s="13">
        <f>'Dados gerais'!D5</f>
        <v>3041</v>
      </c>
      <c r="G4" s="16">
        <f t="shared" ca="1" si="1"/>
        <v>936.19402985074623</v>
      </c>
      <c r="H4" s="16">
        <f t="shared" ca="1" si="2"/>
        <v>61.879316014468927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3">
        <v>2021</v>
      </c>
      <c r="B5" s="14">
        <f>'Dados gerais'!B6</f>
        <v>44287</v>
      </c>
      <c r="C5" s="13" t="str">
        <f t="shared" si="0"/>
        <v>abril</v>
      </c>
      <c r="D5" s="1">
        <f t="shared" ca="1" si="3"/>
        <v>260829</v>
      </c>
      <c r="E5" s="13">
        <f>'Dados gerais'!E6</f>
        <v>204</v>
      </c>
      <c r="F5" s="13">
        <f>'Dados gerais'!D6</f>
        <v>3041</v>
      </c>
      <c r="G5" s="16">
        <f t="shared" ca="1" si="1"/>
        <v>1278.5735294117646</v>
      </c>
      <c r="H5" s="16">
        <f t="shared" ca="1" si="2"/>
        <v>85.770799079250253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13">
        <v>2021</v>
      </c>
      <c r="B6" s="14">
        <f>'Dados gerais'!B7</f>
        <v>44317</v>
      </c>
      <c r="C6" s="13" t="str">
        <f t="shared" si="0"/>
        <v>maio</v>
      </c>
      <c r="D6" s="1">
        <f t="shared" ca="1" si="3"/>
        <v>273071</v>
      </c>
      <c r="E6" s="13">
        <f>'Dados gerais'!E7</f>
        <v>199</v>
      </c>
      <c r="F6" s="13">
        <f>'Dados gerais'!D7</f>
        <v>3041</v>
      </c>
      <c r="G6" s="16">
        <f t="shared" ca="1" si="1"/>
        <v>1372.21608040201</v>
      </c>
      <c r="H6" s="16">
        <f t="shared" ca="1" si="2"/>
        <v>89.796448536665565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13">
        <v>2021</v>
      </c>
      <c r="B7" s="14">
        <f>'Dados gerais'!B8</f>
        <v>44348</v>
      </c>
      <c r="C7" s="13" t="str">
        <f t="shared" si="0"/>
        <v>junho</v>
      </c>
      <c r="D7" s="1">
        <f t="shared" ca="1" si="3"/>
        <v>199651</v>
      </c>
      <c r="E7" s="13">
        <f>'Dados gerais'!E8</f>
        <v>208</v>
      </c>
      <c r="F7" s="13">
        <f>'Dados gerais'!D8</f>
        <v>3041</v>
      </c>
      <c r="G7" s="16">
        <f t="shared" ca="1" si="1"/>
        <v>959.86057692307691</v>
      </c>
      <c r="H7" s="16">
        <f t="shared" ca="1" si="2"/>
        <v>65.653074646497856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>
      <c r="A8" s="13">
        <v>2021</v>
      </c>
      <c r="B8" s="14">
        <f>'Dados gerais'!B9</f>
        <v>44378</v>
      </c>
      <c r="C8" s="13" t="str">
        <f t="shared" si="0"/>
        <v>julho</v>
      </c>
      <c r="D8" s="1">
        <f t="shared" ca="1" si="3"/>
        <v>315368</v>
      </c>
      <c r="E8" s="13">
        <f>'Dados gerais'!E9</f>
        <v>209</v>
      </c>
      <c r="F8" s="13">
        <f>'Dados gerais'!D9</f>
        <v>3041</v>
      </c>
      <c r="G8" s="16">
        <f t="shared" ca="1" si="1"/>
        <v>1508.9377990430621</v>
      </c>
      <c r="H8" s="16">
        <f t="shared" ca="1" si="2"/>
        <v>103.7053600789214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>
      <c r="A9" s="13">
        <v>2021</v>
      </c>
      <c r="B9" s="14">
        <f>'Dados gerais'!B10</f>
        <v>44409</v>
      </c>
      <c r="C9" s="13" t="str">
        <f t="shared" si="0"/>
        <v>agosto</v>
      </c>
      <c r="D9" s="1">
        <f t="shared" ca="1" si="3"/>
        <v>236318</v>
      </c>
      <c r="E9" s="13">
        <f>'Dados gerais'!E10</f>
        <v>203</v>
      </c>
      <c r="F9" s="13">
        <f>'Dados gerais'!D10</f>
        <v>3041</v>
      </c>
      <c r="G9" s="16">
        <f t="shared" ca="1" si="1"/>
        <v>1164.1280788177339</v>
      </c>
      <c r="H9" s="16">
        <f t="shared" ca="1" si="2"/>
        <v>77.710621506083527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>
      <c r="A10" s="13">
        <v>2021</v>
      </c>
      <c r="B10" s="14">
        <f>'Dados gerais'!B11</f>
        <v>44440</v>
      </c>
      <c r="C10" s="13" t="str">
        <f t="shared" si="0"/>
        <v>setembro</v>
      </c>
      <c r="D10" s="1">
        <f t="shared" ca="1" si="3"/>
        <v>236322</v>
      </c>
      <c r="E10" s="13">
        <f>'Dados gerais'!E11</f>
        <v>211</v>
      </c>
      <c r="F10" s="13">
        <f>'Dados gerais'!D11</f>
        <v>3041</v>
      </c>
      <c r="G10" s="16">
        <f t="shared" ca="1" si="1"/>
        <v>1120.0094786729858</v>
      </c>
      <c r="H10" s="16">
        <f t="shared" ca="1" si="2"/>
        <v>77.711936862874055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>
      <c r="A11" s="13">
        <v>2021</v>
      </c>
      <c r="B11" s="14">
        <f>'Dados gerais'!B12</f>
        <v>44470</v>
      </c>
      <c r="C11" s="13" t="str">
        <f t="shared" si="0"/>
        <v>outubro</v>
      </c>
      <c r="D11" s="1">
        <f t="shared" ca="1" si="3"/>
        <v>337023</v>
      </c>
      <c r="E11" s="13">
        <f>'Dados gerais'!E12</f>
        <v>219</v>
      </c>
      <c r="F11" s="13">
        <f>'Dados gerais'!D12</f>
        <v>3041</v>
      </c>
      <c r="G11" s="16">
        <f t="shared" ca="1" si="1"/>
        <v>1538.9178082191781</v>
      </c>
      <c r="H11" s="16">
        <f t="shared" ca="1" si="2"/>
        <v>110.82637290365011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>
      <c r="A12" s="13">
        <v>2021</v>
      </c>
      <c r="B12" s="14">
        <f>'Dados gerais'!B13</f>
        <v>44501</v>
      </c>
      <c r="C12" s="13" t="str">
        <f t="shared" si="0"/>
        <v>novembro</v>
      </c>
      <c r="D12" s="1">
        <f t="shared" ca="1" si="3"/>
        <v>211010</v>
      </c>
      <c r="E12" s="13">
        <f>'Dados gerais'!E13</f>
        <v>219</v>
      </c>
      <c r="F12" s="13">
        <f>'Dados gerais'!D13</f>
        <v>3041</v>
      </c>
      <c r="G12" s="16">
        <f t="shared" ca="1" si="1"/>
        <v>963.51598173515981</v>
      </c>
      <c r="H12" s="16">
        <f t="shared" ca="1" si="2"/>
        <v>69.388359092403817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A13" s="13">
        <v>2021</v>
      </c>
      <c r="B13" s="14">
        <f>'Dados gerais'!B14</f>
        <v>44531</v>
      </c>
      <c r="C13" s="13" t="str">
        <f t="shared" si="0"/>
        <v>dezembro</v>
      </c>
      <c r="D13" s="1">
        <f t="shared" ca="1" si="3"/>
        <v>266727</v>
      </c>
      <c r="E13" s="13">
        <f>'Dados gerais'!E14</f>
        <v>220</v>
      </c>
      <c r="F13" s="13">
        <f>'Dados gerais'!D14</f>
        <v>3041</v>
      </c>
      <c r="G13" s="16">
        <f t="shared" ca="1" si="1"/>
        <v>1212.3954545454546</v>
      </c>
      <c r="H13" s="16">
        <f t="shared" ca="1" si="2"/>
        <v>87.710292666885891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>
      <c r="A14" s="13">
        <v>2022</v>
      </c>
      <c r="B14" s="14">
        <f>'Dados gerais'!H3</f>
        <v>44562</v>
      </c>
      <c r="C14" s="13" t="str">
        <f t="shared" si="0"/>
        <v>janeiro</v>
      </c>
      <c r="D14" s="1">
        <f t="shared" ca="1" si="3"/>
        <v>318184</v>
      </c>
      <c r="E14" s="13">
        <f>'Dados gerais'!K3</f>
        <v>222</v>
      </c>
      <c r="F14" s="13">
        <f>'Dados gerais'!J3</f>
        <v>3041</v>
      </c>
      <c r="G14" s="16">
        <f t="shared" ca="1" si="1"/>
        <v>1433.2612612612613</v>
      </c>
      <c r="H14" s="16">
        <f t="shared" ca="1" si="2"/>
        <v>104.63137125945413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 s="13">
        <v>2022</v>
      </c>
      <c r="B15" s="14">
        <f>'Dados gerais'!H4</f>
        <v>44593</v>
      </c>
      <c r="C15" s="13" t="str">
        <f t="shared" si="0"/>
        <v>fevereiro</v>
      </c>
      <c r="D15" s="1">
        <f t="shared" ca="1" si="3"/>
        <v>316068</v>
      </c>
      <c r="E15" s="13">
        <f>'Dados gerais'!K4</f>
        <v>220</v>
      </c>
      <c r="F15" s="13">
        <f>'Dados gerais'!J4</f>
        <v>3041</v>
      </c>
      <c r="G15" s="16">
        <f t="shared" ca="1" si="1"/>
        <v>1436.6727272727273</v>
      </c>
      <c r="H15" s="16">
        <f t="shared" ca="1" si="2"/>
        <v>103.93554751726406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>
      <c r="A16" s="13">
        <v>2022</v>
      </c>
      <c r="B16" s="14">
        <f>'Dados gerais'!H5</f>
        <v>44621</v>
      </c>
      <c r="C16" s="13" t="str">
        <f t="shared" si="0"/>
        <v>março</v>
      </c>
      <c r="D16" s="1">
        <f t="shared" ca="1" si="3"/>
        <v>328691</v>
      </c>
      <c r="E16" s="13">
        <f>'Dados gerais'!K5</f>
        <v>221</v>
      </c>
      <c r="F16" s="13">
        <f>'Dados gerais'!J5</f>
        <v>3041</v>
      </c>
      <c r="G16" s="16">
        <f t="shared" ca="1" si="1"/>
        <v>1487.289592760181</v>
      </c>
      <c r="H16" s="16">
        <f t="shared" ca="1" si="2"/>
        <v>108.08648470897731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>
      <c r="A17" s="13">
        <v>2022</v>
      </c>
      <c r="B17" s="14">
        <f>'Dados gerais'!H6</f>
        <v>44652</v>
      </c>
      <c r="C17" s="13" t="str">
        <f t="shared" si="0"/>
        <v>abril</v>
      </c>
      <c r="D17" s="1">
        <f t="shared" ca="1" si="3"/>
        <v>276961</v>
      </c>
      <c r="E17" s="13">
        <f>'Dados gerais'!K6</f>
        <v>232</v>
      </c>
      <c r="F17" s="13">
        <f>'Dados gerais'!J6</f>
        <v>3041</v>
      </c>
      <c r="G17" s="16">
        <f t="shared" ca="1" si="1"/>
        <v>1193.7974137931035</v>
      </c>
      <c r="H17" s="16">
        <f t="shared" ca="1" si="2"/>
        <v>91.075633015455438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s="13">
        <v>2022</v>
      </c>
      <c r="B18" s="14">
        <f>'Dados gerais'!H7</f>
        <v>44682</v>
      </c>
      <c r="C18" s="13" t="str">
        <f t="shared" si="0"/>
        <v>maio</v>
      </c>
      <c r="D18" s="1">
        <f t="shared" ca="1" si="3"/>
        <v>199159</v>
      </c>
      <c r="E18" s="13">
        <f>'Dados gerais'!K7</f>
        <v>227</v>
      </c>
      <c r="F18" s="13">
        <f>'Dados gerais'!J7</f>
        <v>3041</v>
      </c>
      <c r="G18" s="16">
        <f t="shared" ca="1" si="1"/>
        <v>877.35242290748897</v>
      </c>
      <c r="H18" s="16">
        <f t="shared" ca="1" si="2"/>
        <v>65.491285761262745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>
      <c r="A19" s="13">
        <v>2022</v>
      </c>
      <c r="B19" s="14">
        <f>'Dados gerais'!H8</f>
        <v>44713</v>
      </c>
      <c r="C19" s="13" t="str">
        <f t="shared" si="0"/>
        <v>junho</v>
      </c>
      <c r="D19" s="1">
        <f t="shared" ca="1" si="3"/>
        <v>259355</v>
      </c>
      <c r="E19" s="13">
        <f>'Dados gerais'!K8</f>
        <v>229</v>
      </c>
      <c r="F19" s="13">
        <f>'Dados gerais'!J8</f>
        <v>3041</v>
      </c>
      <c r="G19" s="16">
        <f t="shared" ca="1" si="1"/>
        <v>1132.5545851528384</v>
      </c>
      <c r="H19" s="16">
        <f t="shared" ca="1" si="2"/>
        <v>85.286090101940147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>
      <c r="A20" s="13">
        <v>2022</v>
      </c>
      <c r="B20" s="14">
        <f>'Dados gerais'!H9</f>
        <v>44743</v>
      </c>
      <c r="C20" s="13" t="str">
        <f t="shared" si="0"/>
        <v>julho</v>
      </c>
      <c r="D20" s="1">
        <f t="shared" ca="1" si="3"/>
        <v>182448</v>
      </c>
      <c r="E20" s="13">
        <f>'Dados gerais'!K9</f>
        <v>234</v>
      </c>
      <c r="F20" s="13">
        <f>'Dados gerais'!J9</f>
        <v>3041</v>
      </c>
      <c r="G20" s="16">
        <f t="shared" ca="1" si="1"/>
        <v>779.69230769230774</v>
      </c>
      <c r="H20" s="16">
        <f t="shared" ca="1" si="2"/>
        <v>59.99605392962841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13">
        <v>2022</v>
      </c>
      <c r="B21" s="14">
        <f>'Dados gerais'!H10</f>
        <v>44774</v>
      </c>
      <c r="C21" s="13" t="str">
        <f t="shared" si="0"/>
        <v>agosto</v>
      </c>
      <c r="D21" s="1">
        <f t="shared" ca="1" si="3"/>
        <v>245444</v>
      </c>
      <c r="E21" s="13">
        <f>'Dados gerais'!K10</f>
        <v>229</v>
      </c>
      <c r="F21" s="13">
        <f>'Dados gerais'!J10</f>
        <v>3041</v>
      </c>
      <c r="G21" s="16">
        <f t="shared" ca="1" si="1"/>
        <v>1071.8078602620087</v>
      </c>
      <c r="H21" s="16">
        <f t="shared" ca="1" si="2"/>
        <v>80.711608023676419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13">
        <v>2022</v>
      </c>
      <c r="B22" s="14">
        <f>'Dados gerais'!H11</f>
        <v>44805</v>
      </c>
      <c r="C22" s="13" t="str">
        <f t="shared" si="0"/>
        <v>setembro</v>
      </c>
      <c r="D22" s="1">
        <f t="shared" ca="1" si="3"/>
        <v>327455</v>
      </c>
      <c r="E22" s="13">
        <f>'Dados gerais'!K11</f>
        <v>231</v>
      </c>
      <c r="F22" s="13">
        <f>'Dados gerais'!J11</f>
        <v>3041</v>
      </c>
      <c r="G22" s="16">
        <f t="shared" ca="1" si="1"/>
        <v>1417.5541125541126</v>
      </c>
      <c r="H22" s="16">
        <f t="shared" ca="1" si="2"/>
        <v>107.68003946070371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3">
        <v>2022</v>
      </c>
      <c r="B23" s="14">
        <f>'Dados gerais'!H12</f>
        <v>44835</v>
      </c>
      <c r="C23" s="13" t="str">
        <f t="shared" si="0"/>
        <v>outubro</v>
      </c>
      <c r="D23" s="1">
        <f t="shared" ca="1" si="3"/>
        <v>254444</v>
      </c>
      <c r="E23" s="13">
        <f>'Dados gerais'!K12</f>
        <v>231</v>
      </c>
      <c r="F23" s="13">
        <f>'Dados gerais'!J12</f>
        <v>3041</v>
      </c>
      <c r="G23" s="16">
        <f t="shared" ca="1" si="1"/>
        <v>1101.4891774891776</v>
      </c>
      <c r="H23" s="16">
        <f t="shared" ca="1" si="2"/>
        <v>83.671160802367638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3">
        <v>2022</v>
      </c>
      <c r="B24" s="14">
        <f>'Dados gerais'!H13</f>
        <v>44866</v>
      </c>
      <c r="C24" s="13" t="str">
        <f t="shared" si="0"/>
        <v>novembro</v>
      </c>
      <c r="D24" s="1">
        <f t="shared" ca="1" si="3"/>
        <v>244912</v>
      </c>
      <c r="E24" s="13">
        <f>'Dados gerais'!K13</f>
        <v>234</v>
      </c>
      <c r="F24" s="13">
        <f>'Dados gerais'!J13</f>
        <v>3041</v>
      </c>
      <c r="G24" s="16">
        <f t="shared" ca="1" si="1"/>
        <v>1046.6324786324785</v>
      </c>
      <c r="H24" s="16">
        <f t="shared" ca="1" si="2"/>
        <v>80.536665570536002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3">
        <v>2022</v>
      </c>
      <c r="B25" s="14">
        <f>'Dados gerais'!H14</f>
        <v>44896</v>
      </c>
      <c r="C25" s="13" t="str">
        <f t="shared" si="0"/>
        <v>dezembro</v>
      </c>
      <c r="D25" s="1">
        <f t="shared" ca="1" si="3"/>
        <v>307533</v>
      </c>
      <c r="E25" s="13">
        <f>'Dados gerais'!K14</f>
        <v>237</v>
      </c>
      <c r="F25" s="13">
        <f>'Dados gerais'!J14</f>
        <v>3041</v>
      </c>
      <c r="G25" s="16">
        <f t="shared" ca="1" si="1"/>
        <v>1297.6075949367089</v>
      </c>
      <c r="H25" s="16">
        <f t="shared" ca="1" si="2"/>
        <v>101.12890496547189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3">
        <v>2023</v>
      </c>
      <c r="B26" s="14">
        <f>'Dados gerais'!N3</f>
        <v>44927</v>
      </c>
      <c r="C26" s="13" t="str">
        <f t="shared" si="0"/>
        <v>janeiro</v>
      </c>
      <c r="D26" s="1">
        <f t="shared" ca="1" si="3"/>
        <v>313985</v>
      </c>
      <c r="E26" s="13">
        <f>'Dados gerais'!Q3</f>
        <v>236</v>
      </c>
      <c r="F26" s="13">
        <f>'Dados gerais'!P3</f>
        <v>3041</v>
      </c>
      <c r="G26" s="16">
        <f t="shared" ca="1" si="1"/>
        <v>1330.4449152542372</v>
      </c>
      <c r="H26" s="16">
        <f t="shared" ca="1" si="2"/>
        <v>103.25057546859585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3">
        <v>2023</v>
      </c>
      <c r="B27" s="14">
        <f>'Dados gerais'!N4</f>
        <v>44958</v>
      </c>
      <c r="C27" s="13" t="str">
        <f t="shared" si="0"/>
        <v>fevereiro</v>
      </c>
      <c r="D27" s="1">
        <f t="shared" ca="1" si="3"/>
        <v>183532</v>
      </c>
      <c r="E27" s="13">
        <f>'Dados gerais'!Q4</f>
        <v>230</v>
      </c>
      <c r="F27" s="13">
        <f>'Dados gerais'!P4</f>
        <v>3041</v>
      </c>
      <c r="G27" s="16">
        <f t="shared" ca="1" si="1"/>
        <v>797.96521739130435</v>
      </c>
      <c r="H27" s="16">
        <f t="shared" ca="1" si="2"/>
        <v>60.35251561986189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3">
        <v>2023</v>
      </c>
      <c r="B28" s="14">
        <f>'Dados gerais'!N5</f>
        <v>44986</v>
      </c>
      <c r="C28" s="13" t="str">
        <f t="shared" si="0"/>
        <v>março</v>
      </c>
      <c r="D28" s="1">
        <f t="shared" ca="1" si="3"/>
        <v>199335</v>
      </c>
      <c r="E28" s="13">
        <f>'Dados gerais'!Q5</f>
        <v>234</v>
      </c>
      <c r="F28" s="13">
        <f>'Dados gerais'!P5</f>
        <v>3041</v>
      </c>
      <c r="G28" s="16">
        <f t="shared" ca="1" si="1"/>
        <v>851.85897435897436</v>
      </c>
      <c r="H28" s="16">
        <f t="shared" ca="1" si="2"/>
        <v>65.549161460046037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13">
        <v>2023</v>
      </c>
      <c r="B29" s="14">
        <f>'Dados gerais'!N6</f>
        <v>45017</v>
      </c>
      <c r="C29" s="13" t="str">
        <f t="shared" si="0"/>
        <v>abril</v>
      </c>
      <c r="D29" s="1">
        <f t="shared" ca="1" si="3"/>
        <v>247089</v>
      </c>
      <c r="E29" s="13">
        <f>'Dados gerais'!Q6</f>
        <v>236</v>
      </c>
      <c r="F29" s="13">
        <f>'Dados gerais'!P6</f>
        <v>3041</v>
      </c>
      <c r="G29" s="16">
        <f t="shared" ca="1" si="1"/>
        <v>1046.9872881355932</v>
      </c>
      <c r="H29" s="16">
        <f t="shared" ca="1" si="2"/>
        <v>81.252548503781654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13">
        <v>2023</v>
      </c>
      <c r="B30" s="14">
        <f>'Dados gerais'!N7</f>
        <v>45047</v>
      </c>
      <c r="C30" s="13" t="str">
        <f t="shared" si="0"/>
        <v>maio</v>
      </c>
      <c r="D30" s="1">
        <f t="shared" ca="1" si="3"/>
        <v>286131</v>
      </c>
      <c r="E30" s="13">
        <f>'Dados gerais'!Q7</f>
        <v>237</v>
      </c>
      <c r="F30" s="13">
        <f>'Dados gerais'!P7</f>
        <v>3041</v>
      </c>
      <c r="G30" s="16">
        <f t="shared" ca="1" si="1"/>
        <v>1207.3037974683543</v>
      </c>
      <c r="H30" s="16">
        <f t="shared" ca="1" si="2"/>
        <v>94.091088457744164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3">
        <v>2023</v>
      </c>
      <c r="B31" s="14">
        <f>'Dados gerais'!N8</f>
        <v>45078</v>
      </c>
      <c r="C31" s="13" t="str">
        <f t="shared" si="0"/>
        <v>junho</v>
      </c>
      <c r="D31" s="1">
        <f t="shared" ca="1" si="3"/>
        <v>264388</v>
      </c>
      <c r="E31" s="13">
        <f>'Dados gerais'!Q8</f>
        <v>239</v>
      </c>
      <c r="F31" s="13">
        <f>'Dados gerais'!P8</f>
        <v>3041</v>
      </c>
      <c r="G31" s="16">
        <f t="shared" ca="1" si="1"/>
        <v>1106.2259414225941</v>
      </c>
      <c r="H31" s="16">
        <f t="shared" ca="1" si="2"/>
        <v>86.941137783623802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3">
        <v>2023</v>
      </c>
      <c r="B32" s="14">
        <f>'Dados gerais'!N9</f>
        <v>45108</v>
      </c>
      <c r="C32" s="13" t="s">
        <v>11</v>
      </c>
      <c r="D32" s="1">
        <f t="shared" ca="1" si="3"/>
        <v>270982</v>
      </c>
      <c r="E32" s="13">
        <f>'Dados gerais'!Q9</f>
        <v>248</v>
      </c>
      <c r="F32" s="13">
        <f>'Dados gerais'!P9</f>
        <v>3041</v>
      </c>
      <c r="G32" s="16">
        <f t="shared" ca="1" si="1"/>
        <v>1092.6693548387098</v>
      </c>
      <c r="H32" s="16">
        <f t="shared" ca="1" si="2"/>
        <v>89.10950345281158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3">
        <v>2023</v>
      </c>
      <c r="B33" s="14">
        <f>'Dados gerais'!N10</f>
        <v>45139</v>
      </c>
      <c r="C33" s="13" t="s">
        <v>12</v>
      </c>
      <c r="D33" s="1">
        <f t="shared" ca="1" si="3"/>
        <v>276442</v>
      </c>
      <c r="E33" s="13">
        <f>'Dados gerais'!Q10</f>
        <v>248</v>
      </c>
      <c r="F33" s="13">
        <f>'Dados gerais'!P10</f>
        <v>3041</v>
      </c>
      <c r="G33" s="16">
        <f t="shared" ca="1" si="1"/>
        <v>1114.6854838709678</v>
      </c>
      <c r="H33" s="16">
        <f t="shared" ca="1" si="2"/>
        <v>90.904965471884253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3">
        <v>2023</v>
      </c>
      <c r="B34" s="14">
        <f>'Dados gerais'!N11</f>
        <v>45170</v>
      </c>
      <c r="C34" s="13" t="s">
        <v>13</v>
      </c>
      <c r="D34" s="1">
        <f t="shared" ca="1" si="3"/>
        <v>260465</v>
      </c>
      <c r="E34" s="13">
        <f>'Dados gerais'!Q11</f>
        <v>248</v>
      </c>
      <c r="F34" s="13">
        <f>'Dados gerais'!P11</f>
        <v>3041</v>
      </c>
      <c r="G34" s="16">
        <f t="shared" ca="1" si="1"/>
        <v>1050.2620967741937</v>
      </c>
      <c r="H34" s="16">
        <f t="shared" ca="1" si="2"/>
        <v>85.651101611312072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3">
        <v>2023</v>
      </c>
      <c r="B35" s="14">
        <f>'Dados gerais'!N12</f>
        <v>45200</v>
      </c>
      <c r="C35" s="13" t="s">
        <v>14</v>
      </c>
      <c r="D35" s="1">
        <f t="shared" ca="1" si="3"/>
        <v>305733</v>
      </c>
      <c r="E35" s="13">
        <f>'Dados gerais'!Q12</f>
        <v>247</v>
      </c>
      <c r="F35" s="13">
        <f>'Dados gerais'!P12</f>
        <v>3041</v>
      </c>
      <c r="G35" s="16">
        <f t="shared" ca="1" si="1"/>
        <v>1237.7854251012145</v>
      </c>
      <c r="H35" s="16">
        <f t="shared" ca="1" si="2"/>
        <v>100.53699440973364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13">
        <v>2023</v>
      </c>
      <c r="B36" s="14">
        <f>'Dados gerais'!N13</f>
        <v>45231</v>
      </c>
      <c r="C36" s="13" t="s">
        <v>15</v>
      </c>
      <c r="D36" s="1">
        <f t="shared" ca="1" si="3"/>
        <v>215073</v>
      </c>
      <c r="E36" s="13">
        <f>'Dados gerais'!Q13</f>
        <v>246</v>
      </c>
      <c r="F36" s="13">
        <f>'Dados gerais'!P13</f>
        <v>3041</v>
      </c>
      <c r="G36" s="16">
        <f t="shared" ca="1" si="1"/>
        <v>874.28048780487802</v>
      </c>
      <c r="H36" s="16">
        <f t="shared" ca="1" si="2"/>
        <v>70.724432752384089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3">
        <v>2023</v>
      </c>
      <c r="B37" s="14">
        <f>'Dados gerais'!N14</f>
        <v>45261</v>
      </c>
      <c r="C37" s="13" t="s">
        <v>16</v>
      </c>
      <c r="D37" s="1">
        <f t="shared" ca="1" si="3"/>
        <v>262862</v>
      </c>
      <c r="E37" s="13">
        <f>'Dados gerais'!Q14</f>
        <v>243</v>
      </c>
      <c r="F37" s="13">
        <f>'Dados gerais'!P14</f>
        <v>3041</v>
      </c>
      <c r="G37" s="16">
        <f t="shared" ca="1" si="1"/>
        <v>1081.7366255144034</v>
      </c>
      <c r="H37" s="16">
        <f t="shared" ca="1" si="2"/>
        <v>86.439329168036835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3">
        <v>2024</v>
      </c>
      <c r="B38" s="14">
        <f>'Dados gerais'!T3</f>
        <v>45292</v>
      </c>
      <c r="C38" s="13" t="s">
        <v>5</v>
      </c>
      <c r="D38" s="1">
        <f t="shared" ca="1" si="3"/>
        <v>230197</v>
      </c>
      <c r="E38" s="13">
        <f>'Dados gerais'!W3</f>
        <v>250</v>
      </c>
      <c r="F38" s="13">
        <f>'Dados gerais'!V3</f>
        <v>3041</v>
      </c>
      <c r="G38" s="16">
        <f t="shared" ca="1" si="1"/>
        <v>920.78800000000001</v>
      </c>
      <c r="H38" s="16">
        <f t="shared" ca="1" si="2"/>
        <v>75.697796777375856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3">
        <v>2024</v>
      </c>
      <c r="B39" s="14">
        <f>'Dados gerais'!T4</f>
        <v>45323</v>
      </c>
      <c r="C39" s="13" t="s">
        <v>6</v>
      </c>
      <c r="D39" s="1">
        <f t="shared" ca="1" si="3"/>
        <v>260575</v>
      </c>
      <c r="E39" s="13">
        <f>'Dados gerais'!W4</f>
        <v>249</v>
      </c>
      <c r="F39" s="13">
        <f>'Dados gerais'!V4</f>
        <v>3041</v>
      </c>
      <c r="G39" s="16">
        <f t="shared" ca="1" si="1"/>
        <v>1046.4859437751004</v>
      </c>
      <c r="H39" s="16">
        <f t="shared" ca="1" si="2"/>
        <v>85.687273923051634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3">
        <v>2024</v>
      </c>
      <c r="B40" s="14">
        <f>'Dados gerais'!T5</f>
        <v>45352</v>
      </c>
      <c r="C40" s="13" t="s">
        <v>7</v>
      </c>
      <c r="D40" s="1">
        <f t="shared" ca="1" si="3"/>
        <v>261363</v>
      </c>
      <c r="E40" s="13">
        <f>'Dados gerais'!W5</f>
        <v>250</v>
      </c>
      <c r="F40" s="13">
        <f>'Dados gerais'!V5</f>
        <v>3041</v>
      </c>
      <c r="G40" s="16">
        <f t="shared" ca="1" si="1"/>
        <v>1045.452</v>
      </c>
      <c r="H40" s="16">
        <f t="shared" ca="1" si="2"/>
        <v>85.946399210785927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3">
        <v>2024</v>
      </c>
      <c r="B41" s="14">
        <f>'Dados gerais'!T6</f>
        <v>45383</v>
      </c>
      <c r="C41" s="13" t="s">
        <v>8</v>
      </c>
      <c r="D41" s="1">
        <f t="shared" ca="1" si="3"/>
        <v>268705</v>
      </c>
      <c r="E41" s="13">
        <f>'Dados gerais'!W6</f>
        <v>259</v>
      </c>
      <c r="F41" s="13">
        <f>'Dados gerais'!V6</f>
        <v>3041</v>
      </c>
      <c r="G41" s="16">
        <f t="shared" ca="1" si="1"/>
        <v>1037.4710424710424</v>
      </c>
      <c r="H41" s="16">
        <f t="shared" ca="1" si="2"/>
        <v>88.360736599802692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3">
        <v>2024</v>
      </c>
      <c r="B42" s="14">
        <f>'Dados gerais'!T7</f>
        <v>45413</v>
      </c>
      <c r="C42" s="13" t="s">
        <v>9</v>
      </c>
      <c r="D42" s="1">
        <f t="shared" ca="1" si="3"/>
        <v>232254</v>
      </c>
      <c r="E42" s="13">
        <f>'Dados gerais'!W7</f>
        <v>257</v>
      </c>
      <c r="F42" s="13">
        <f>'Dados gerais'!V7</f>
        <v>3041</v>
      </c>
      <c r="G42" s="16">
        <f t="shared" ca="1" si="1"/>
        <v>903.7120622568093</v>
      </c>
      <c r="H42" s="16">
        <f t="shared" ca="1" si="2"/>
        <v>76.374219006905619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13">
        <v>2024</v>
      </c>
      <c r="B43" s="14">
        <f>'Dados gerais'!T8</f>
        <v>45444</v>
      </c>
      <c r="C43" s="13" t="s">
        <v>10</v>
      </c>
      <c r="D43" s="1">
        <f t="shared" ca="1" si="3"/>
        <v>320486</v>
      </c>
      <c r="E43" s="13">
        <f>'Dados gerais'!W8</f>
        <v>255</v>
      </c>
      <c r="F43" s="13">
        <f>'Dados gerais'!V8</f>
        <v>3041</v>
      </c>
      <c r="G43" s="16">
        <f t="shared" ca="1" si="1"/>
        <v>1256.8078431372548</v>
      </c>
      <c r="H43" s="16">
        <f t="shared" ca="1" si="2"/>
        <v>105.38835909240382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3">
        <v>2024</v>
      </c>
      <c r="B44" s="14">
        <f>'Dados gerais'!T9</f>
        <v>45474</v>
      </c>
      <c r="C44" s="13" t="s">
        <v>11</v>
      </c>
      <c r="D44" s="1">
        <f t="shared" ca="1" si="3"/>
        <v>232652</v>
      </c>
      <c r="E44" s="13">
        <f>'Dados gerais'!W9</f>
        <v>262</v>
      </c>
      <c r="F44" s="13">
        <f>'Dados gerais'!V9</f>
        <v>3041</v>
      </c>
      <c r="G44" s="16">
        <f t="shared" ca="1" si="1"/>
        <v>887.98473282442751</v>
      </c>
      <c r="H44" s="16">
        <f t="shared" ca="1" si="2"/>
        <v>76.505097007563307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3">
        <v>2024</v>
      </c>
      <c r="B45" s="14">
        <f>'Dados gerais'!T10</f>
        <v>45505</v>
      </c>
      <c r="C45" s="13" t="s">
        <v>12</v>
      </c>
      <c r="D45" s="1">
        <f t="shared" ca="1" si="3"/>
        <v>329338</v>
      </c>
      <c r="E45" s="13">
        <f>'Dados gerais'!W10</f>
        <v>258</v>
      </c>
      <c r="F45" s="13">
        <f>'Dados gerais'!V10</f>
        <v>3041</v>
      </c>
      <c r="G45" s="16">
        <f t="shared" ca="1" si="1"/>
        <v>1276.5038759689924</v>
      </c>
      <c r="H45" s="16">
        <f t="shared" ca="1" si="2"/>
        <v>108.29924366984545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3">
        <v>2024</v>
      </c>
      <c r="B46" s="14">
        <f>'Dados gerais'!T11</f>
        <v>45536</v>
      </c>
      <c r="C46" s="13" t="s">
        <v>13</v>
      </c>
      <c r="D46" s="1">
        <f t="shared" ca="1" si="3"/>
        <v>288067</v>
      </c>
      <c r="E46" s="13">
        <f>'Dados gerais'!W11</f>
        <v>258</v>
      </c>
      <c r="F46" s="13">
        <f>'Dados gerais'!V11</f>
        <v>3041</v>
      </c>
      <c r="G46" s="16">
        <f t="shared" ca="1" si="1"/>
        <v>1116.5387596899225</v>
      </c>
      <c r="H46" s="16">
        <f t="shared" ca="1" si="2"/>
        <v>94.727721144360402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3">
        <v>2024</v>
      </c>
      <c r="B47" s="14">
        <f>'Dados gerais'!T12</f>
        <v>45566</v>
      </c>
      <c r="C47" s="13" t="s">
        <v>14</v>
      </c>
      <c r="D47" s="1">
        <f t="shared" ca="1" si="3"/>
        <v>276847</v>
      </c>
      <c r="E47" s="13">
        <f>'Dados gerais'!W12</f>
        <v>264</v>
      </c>
      <c r="F47" s="13">
        <f>'Dados gerais'!V12</f>
        <v>3041</v>
      </c>
      <c r="G47" s="16">
        <f t="shared" ca="1" si="1"/>
        <v>1048.6628787878788</v>
      </c>
      <c r="H47" s="16">
        <f t="shared" ca="1" si="2"/>
        <v>91.038145346925347</v>
      </c>
      <c r="I47" s="1"/>
      <c r="J47" s="1"/>
      <c r="K47" s="1"/>
      <c r="L47" s="52">
        <f ca="1">MIN(D2:D57)</f>
        <v>182448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3">
        <v>2024</v>
      </c>
      <c r="B48" s="14">
        <f>'Dados gerais'!T13</f>
        <v>45597</v>
      </c>
      <c r="C48" s="13" t="s">
        <v>15</v>
      </c>
      <c r="D48" s="1">
        <f t="shared" ca="1" si="3"/>
        <v>211988</v>
      </c>
      <c r="E48" s="13">
        <f>'Dados gerais'!W13</f>
        <v>266</v>
      </c>
      <c r="F48" s="13">
        <f>'Dados gerais'!V13</f>
        <v>3041</v>
      </c>
      <c r="G48" s="16">
        <f t="shared" ca="1" si="1"/>
        <v>796.9473684210526</v>
      </c>
      <c r="H48" s="16">
        <f t="shared" ca="1" si="2"/>
        <v>69.709963827688256</v>
      </c>
      <c r="I48" s="1"/>
      <c r="J48" s="1"/>
      <c r="K48" s="1"/>
      <c r="L48" s="52">
        <f ca="1">MAX(D2:D57)</f>
        <v>337023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3">
        <v>2024</v>
      </c>
      <c r="B49" s="14">
        <f>'Dados gerais'!T14</f>
        <v>45627</v>
      </c>
      <c r="C49" s="13" t="s">
        <v>16</v>
      </c>
      <c r="D49" s="1">
        <f t="shared" ca="1" si="3"/>
        <v>298350</v>
      </c>
      <c r="E49" s="13">
        <f>'Dados gerais'!W14</f>
        <v>278</v>
      </c>
      <c r="F49" s="13">
        <f>'Dados gerais'!V14</f>
        <v>3041</v>
      </c>
      <c r="G49" s="16">
        <f t="shared" ca="1" si="1"/>
        <v>1073.2014388489208</v>
      </c>
      <c r="H49" s="16">
        <f t="shared" ca="1" si="2"/>
        <v>98.109174613613945</v>
      </c>
      <c r="I49" s="1"/>
      <c r="J49" s="1"/>
      <c r="K49" s="1"/>
      <c r="L49" s="1">
        <f ca="1">RANDBETWEEN($L$47,$L$48)</f>
        <v>299538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13">
        <v>2025</v>
      </c>
      <c r="B50" s="14">
        <f>'Dados gerais'!Z3</f>
        <v>45658</v>
      </c>
      <c r="C50" s="13" t="str">
        <f>'Dados gerais'!AA3</f>
        <v>janeiro</v>
      </c>
      <c r="D50" s="1">
        <f t="shared" ca="1" si="3"/>
        <v>269390</v>
      </c>
      <c r="E50" s="13">
        <f>'Dados gerais'!AC3</f>
        <v>287</v>
      </c>
      <c r="F50" s="13">
        <v>3041</v>
      </c>
      <c r="G50" s="16">
        <f t="shared" ca="1" si="1"/>
        <v>938.64111498257842</v>
      </c>
      <c r="H50" s="16">
        <f t="shared" ca="1" si="2"/>
        <v>88.585991450180856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3">
        <v>2025</v>
      </c>
      <c r="B51" s="14">
        <f>'Dados gerais'!Z4</f>
        <v>45689</v>
      </c>
      <c r="C51" s="13" t="str">
        <f>'Dados gerais'!AA4</f>
        <v>fevereiro</v>
      </c>
      <c r="D51" s="1">
        <f t="shared" ca="1" si="3"/>
        <v>306145</v>
      </c>
      <c r="E51" s="13">
        <f>'Dados gerais'!AC4</f>
        <v>294</v>
      </c>
      <c r="F51" s="13">
        <v>3041</v>
      </c>
      <c r="G51" s="16">
        <f t="shared" ca="1" si="1"/>
        <v>1041.3095238095239</v>
      </c>
      <c r="H51" s="16">
        <f t="shared" ca="1" si="2"/>
        <v>100.67247615915817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3">
        <v>2025</v>
      </c>
      <c r="B52" s="14">
        <f>'Dados gerais'!Z5</f>
        <v>45717</v>
      </c>
      <c r="C52" s="13" t="str">
        <f>'Dados gerais'!AA5</f>
        <v>março</v>
      </c>
      <c r="D52" s="1">
        <f t="shared" ca="1" si="3"/>
        <v>318034</v>
      </c>
      <c r="E52" s="13">
        <f>'Dados gerais'!AC5</f>
        <v>294</v>
      </c>
      <c r="F52" s="13">
        <v>3041</v>
      </c>
      <c r="G52" s="16">
        <f t="shared" ca="1" si="1"/>
        <v>1081.7482993197279</v>
      </c>
      <c r="H52" s="16">
        <f t="shared" ca="1" si="2"/>
        <v>104.58204537980927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3">
        <v>2025</v>
      </c>
      <c r="B53" s="14">
        <f>'Dados gerais'!Z6</f>
        <v>45748</v>
      </c>
      <c r="C53" s="13" t="str">
        <f>'Dados gerais'!AA6</f>
        <v>abril</v>
      </c>
      <c r="D53" s="1">
        <f t="shared" ca="1" si="3"/>
        <v>295050</v>
      </c>
      <c r="E53" s="13">
        <v>294</v>
      </c>
      <c r="F53" s="13">
        <v>3041</v>
      </c>
      <c r="G53" s="16">
        <f t="shared" ca="1" si="1"/>
        <v>1003.5714285714286</v>
      </c>
      <c r="H53" s="16">
        <f t="shared" ca="1" si="2"/>
        <v>97.024005261427163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3">
        <v>2025</v>
      </c>
      <c r="B54" s="14">
        <f>'Dados gerais'!Z7</f>
        <v>45778</v>
      </c>
      <c r="C54" s="13" t="str">
        <f>'Dados gerais'!AA7</f>
        <v>maio</v>
      </c>
      <c r="D54" s="1">
        <f t="shared" ca="1" si="3"/>
        <v>312673</v>
      </c>
      <c r="E54" s="13">
        <v>0</v>
      </c>
      <c r="F54" s="13">
        <v>0</v>
      </c>
      <c r="G54" s="16" t="e">
        <f t="shared" ca="1" si="1"/>
        <v>#DIV/0!</v>
      </c>
      <c r="H54" s="16" t="e">
        <f t="shared" ca="1" si="2"/>
        <v>#DIV/0!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3">
        <v>2025</v>
      </c>
      <c r="B55" s="14">
        <f>'Dados gerais'!Z8</f>
        <v>45809</v>
      </c>
      <c r="C55" s="13" t="str">
        <f>'Dados gerais'!AA8</f>
        <v>junho</v>
      </c>
      <c r="D55" s="1">
        <f t="shared" ca="1" si="3"/>
        <v>319940</v>
      </c>
      <c r="E55" s="13">
        <v>0</v>
      </c>
      <c r="F55" s="13">
        <v>0</v>
      </c>
      <c r="G55" s="16" t="e">
        <f t="shared" ca="1" si="1"/>
        <v>#DIV/0!</v>
      </c>
      <c r="H55" s="16" t="e">
        <f t="shared" ca="1" si="2"/>
        <v>#DIV/0!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3">
        <v>2025</v>
      </c>
      <c r="B56" s="17">
        <f>'Dados gerais'!Z9</f>
        <v>45839</v>
      </c>
      <c r="C56" s="18" t="str">
        <f>'Dados gerais'!AA9</f>
        <v>julho</v>
      </c>
      <c r="D56" s="1">
        <f t="shared" ca="1" si="3"/>
        <v>253911</v>
      </c>
      <c r="E56" s="18">
        <v>0</v>
      </c>
      <c r="F56" s="18">
        <v>0</v>
      </c>
      <c r="G56" s="19" t="e">
        <f t="shared" ca="1" si="1"/>
        <v>#DIV/0!</v>
      </c>
      <c r="H56" s="19" t="e">
        <f t="shared" ca="1" si="2"/>
        <v>#DIV/0!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13">
        <v>2025</v>
      </c>
      <c r="B57" s="17">
        <f>'Dados gerais'!Z10</f>
        <v>45870</v>
      </c>
      <c r="C57" s="18" t="str">
        <f>'Dados gerais'!AA10</f>
        <v>agosto</v>
      </c>
      <c r="D57" s="1">
        <f t="shared" ca="1" si="3"/>
        <v>278712</v>
      </c>
      <c r="E57" s="18">
        <v>0</v>
      </c>
      <c r="F57" s="18">
        <v>0</v>
      </c>
      <c r="G57" s="19" t="e">
        <f t="shared" ca="1" si="1"/>
        <v>#DIV/0!</v>
      </c>
      <c r="H57" s="19" t="e">
        <f t="shared" ca="1" si="2"/>
        <v>#DIV/0!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3">
        <v>2025</v>
      </c>
      <c r="B58" s="14">
        <f>'Dados gerais'!Z11</f>
        <v>45901</v>
      </c>
      <c r="C58" s="13" t="str">
        <f>'Dados gerais'!AA11</f>
        <v>setembro</v>
      </c>
      <c r="D58" s="13"/>
      <c r="E58" s="13">
        <f>'Dados gerais'!AC11</f>
        <v>0</v>
      </c>
      <c r="F58" s="13">
        <f>'Dados gerais'!AB11</f>
        <v>0</v>
      </c>
      <c r="G58" s="13"/>
      <c r="H58" s="1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3">
        <v>2025</v>
      </c>
      <c r="B59" s="14">
        <f>'Dados gerais'!Z12</f>
        <v>45931</v>
      </c>
      <c r="C59" s="13" t="str">
        <f>'Dados gerais'!AA12</f>
        <v>outubro</v>
      </c>
      <c r="D59" s="13"/>
      <c r="E59" s="13">
        <f>'Dados gerais'!AC12</f>
        <v>0</v>
      </c>
      <c r="F59" s="13">
        <f>'Dados gerais'!AB12</f>
        <v>0</v>
      </c>
      <c r="G59" s="13"/>
      <c r="H59" s="1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3">
        <v>2025</v>
      </c>
      <c r="B60" s="14">
        <f>'Dados gerais'!Z13</f>
        <v>45962</v>
      </c>
      <c r="C60" s="13" t="str">
        <f>'Dados gerais'!AA13</f>
        <v>novembro</v>
      </c>
      <c r="D60" s="13"/>
      <c r="E60" s="13">
        <f>'Dados gerais'!AC13</f>
        <v>0</v>
      </c>
      <c r="F60" s="13">
        <f>'Dados gerais'!AB13</f>
        <v>0</v>
      </c>
      <c r="G60" s="13"/>
      <c r="H60" s="1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3">
        <v>2025</v>
      </c>
      <c r="B61" s="14">
        <f>'Dados gerais'!Z14</f>
        <v>45992</v>
      </c>
      <c r="C61" s="13" t="str">
        <f>'Dados gerais'!AA14</f>
        <v>dezembro</v>
      </c>
      <c r="D61" s="13"/>
      <c r="E61" s="13">
        <f>'Dados gerais'!AC14</f>
        <v>0</v>
      </c>
      <c r="F61" s="13">
        <f>'Dados gerais'!AB14</f>
        <v>0</v>
      </c>
      <c r="G61" s="13"/>
      <c r="H61" s="1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</sheetData>
  <autoFilter ref="A1:B61"/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"/>
  <sheetViews>
    <sheetView showGridLines="0" topLeftCell="A40" workbookViewId="0">
      <selection activeCell="F63" sqref="F63"/>
    </sheetView>
  </sheetViews>
  <sheetFormatPr defaultColWidth="14.42578125" defaultRowHeight="15" customHeight="1"/>
  <cols>
    <col min="1" max="1" width="9.140625" customWidth="1"/>
    <col min="2" max="2" width="10.7109375" customWidth="1"/>
    <col min="3" max="3" width="11.28515625" customWidth="1"/>
    <col min="4" max="4" width="13.28515625" customWidth="1"/>
    <col min="5" max="5" width="22.28515625" customWidth="1"/>
    <col min="6" max="6" width="17.5703125" customWidth="1"/>
    <col min="7" max="7" width="23.85546875" customWidth="1"/>
    <col min="8" max="8" width="25.5703125" customWidth="1"/>
    <col min="9" max="9" width="27.5703125" customWidth="1"/>
    <col min="10" max="32" width="9.140625" customWidth="1"/>
  </cols>
  <sheetData>
    <row r="1" spans="1:32">
      <c r="A1" s="5" t="s">
        <v>0</v>
      </c>
      <c r="B1" s="5" t="s">
        <v>1</v>
      </c>
      <c r="C1" s="5" t="s">
        <v>2</v>
      </c>
      <c r="D1" s="5" t="s">
        <v>24</v>
      </c>
      <c r="E1" s="5" t="s">
        <v>25</v>
      </c>
      <c r="F1" s="5" t="s">
        <v>19</v>
      </c>
      <c r="G1" s="5" t="s">
        <v>26</v>
      </c>
      <c r="H1" s="5" t="s">
        <v>20</v>
      </c>
      <c r="I1" s="5" t="s">
        <v>27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3">
        <v>2021</v>
      </c>
      <c r="B2" s="14">
        <f>'Dados gerais'!B3</f>
        <v>44197</v>
      </c>
      <c r="C2" s="13" t="str">
        <f t="shared" ref="C2:C15" si="0">TEXT(B2,"mmmm")</f>
        <v>janeiro</v>
      </c>
      <c r="D2" s="20">
        <f>(29808.75+36197.67)*60%</f>
        <v>39603.851999999999</v>
      </c>
      <c r="E2" s="1">
        <f ca="1">RANDBETWEEN(72000,125000)</f>
        <v>108931</v>
      </c>
      <c r="F2" s="13">
        <f>'Dados gerais'!E3</f>
        <v>200</v>
      </c>
      <c r="G2" s="16">
        <f t="shared" ref="G2:G56" ca="1" si="1">E2/F2</f>
        <v>544.65499999999997</v>
      </c>
      <c r="H2" s="16">
        <f>'Dados gerais'!D3</f>
        <v>3041</v>
      </c>
      <c r="I2" s="16">
        <f t="shared" ref="I2:I56" ca="1" si="2">E2/H2</f>
        <v>35.820782637290364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>
      <c r="A3" s="13">
        <v>2021</v>
      </c>
      <c r="B3" s="14">
        <f>'Dados gerais'!B4</f>
        <v>44228</v>
      </c>
      <c r="C3" s="13" t="str">
        <f t="shared" si="0"/>
        <v>fevereiro</v>
      </c>
      <c r="D3" s="20">
        <f>(31190.46+27524.37)*60%</f>
        <v>35228.898000000001</v>
      </c>
      <c r="E3" s="1">
        <f t="shared" ref="E3:E56" ca="1" si="3">RANDBETWEEN(72000,125000)</f>
        <v>75864</v>
      </c>
      <c r="F3" s="13">
        <f>'Dados gerais'!E4</f>
        <v>200</v>
      </c>
      <c r="G3" s="16">
        <f t="shared" ca="1" si="1"/>
        <v>379.32</v>
      </c>
      <c r="H3" s="16">
        <f>'Dados gerais'!D4</f>
        <v>3041</v>
      </c>
      <c r="I3" s="16">
        <f t="shared" ca="1" si="2"/>
        <v>24.947056889181191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>
      <c r="A4" s="13">
        <v>2021</v>
      </c>
      <c r="B4" s="14">
        <f>'Dados gerais'!B5</f>
        <v>44256</v>
      </c>
      <c r="C4" s="13" t="str">
        <f t="shared" si="0"/>
        <v>março</v>
      </c>
      <c r="D4" s="20">
        <f>(30018.95+26452.57)*60%</f>
        <v>33882.912000000004</v>
      </c>
      <c r="E4" s="1">
        <f t="shared" ca="1" si="3"/>
        <v>114293</v>
      </c>
      <c r="F4" s="13">
        <f>'Dados gerais'!E5</f>
        <v>201</v>
      </c>
      <c r="G4" s="16">
        <f t="shared" ca="1" si="1"/>
        <v>568.62189054726366</v>
      </c>
      <c r="H4" s="16">
        <f>'Dados gerais'!D5</f>
        <v>3041</v>
      </c>
      <c r="I4" s="16">
        <f t="shared" ca="1" si="2"/>
        <v>37.584018414995064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>
      <c r="A5" s="13">
        <v>2021</v>
      </c>
      <c r="B5" s="14">
        <f>'Dados gerais'!B6</f>
        <v>44287</v>
      </c>
      <c r="C5" s="13" t="str">
        <f t="shared" si="0"/>
        <v>abril</v>
      </c>
      <c r="D5" s="20">
        <f>(25546.88+29536.39)*60%</f>
        <v>33049.962</v>
      </c>
      <c r="E5" s="1">
        <f t="shared" ca="1" si="3"/>
        <v>73131</v>
      </c>
      <c r="F5" s="13">
        <f>'Dados gerais'!E6</f>
        <v>204</v>
      </c>
      <c r="G5" s="16">
        <f t="shared" ca="1" si="1"/>
        <v>358.48529411764707</v>
      </c>
      <c r="H5" s="16">
        <f>'Dados gerais'!D6</f>
        <v>3041</v>
      </c>
      <c r="I5" s="16">
        <f t="shared" ca="1" si="2"/>
        <v>24.048339362051955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>
      <c r="A6" s="13">
        <v>2021</v>
      </c>
      <c r="B6" s="14">
        <f>'Dados gerais'!B7</f>
        <v>44317</v>
      </c>
      <c r="C6" s="13" t="str">
        <f t="shared" si="0"/>
        <v>maio</v>
      </c>
      <c r="D6" s="20">
        <f>(27943.79+30848.32)*60%</f>
        <v>35275.265999999996</v>
      </c>
      <c r="E6" s="1">
        <f t="shared" ca="1" si="3"/>
        <v>121337</v>
      </c>
      <c r="F6" s="13">
        <f>'Dados gerais'!E7</f>
        <v>199</v>
      </c>
      <c r="G6" s="16">
        <f t="shared" ca="1" si="1"/>
        <v>609.73366834170849</v>
      </c>
      <c r="H6" s="16">
        <f>'Dados gerais'!D7</f>
        <v>3041</v>
      </c>
      <c r="I6" s="16">
        <f t="shared" ca="1" si="2"/>
        <v>39.900361723117399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>
      <c r="A7" s="13">
        <v>2021</v>
      </c>
      <c r="B7" s="14">
        <f>'Dados gerais'!B8</f>
        <v>44348</v>
      </c>
      <c r="C7" s="13" t="str">
        <f t="shared" si="0"/>
        <v>junho</v>
      </c>
      <c r="D7" s="20">
        <f>(24738.42+27988.87)*60%</f>
        <v>31636.373999999996</v>
      </c>
      <c r="E7" s="1">
        <f t="shared" ca="1" si="3"/>
        <v>117648</v>
      </c>
      <c r="F7" s="13">
        <f>'Dados gerais'!E8</f>
        <v>208</v>
      </c>
      <c r="G7" s="16">
        <f t="shared" ca="1" si="1"/>
        <v>565.61538461538464</v>
      </c>
      <c r="H7" s="16">
        <f>'Dados gerais'!D8</f>
        <v>3041</v>
      </c>
      <c r="I7" s="16">
        <f t="shared" ca="1" si="2"/>
        <v>38.687273923051627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s">
        <v>28</v>
      </c>
    </row>
    <row r="8" spans="1:32">
      <c r="A8" s="13">
        <v>2021</v>
      </c>
      <c r="B8" s="14">
        <f>'Dados gerais'!B9</f>
        <v>44378</v>
      </c>
      <c r="C8" s="13" t="str">
        <f t="shared" si="0"/>
        <v>julho</v>
      </c>
      <c r="D8" s="20">
        <f>(23828.05+26808)*60%</f>
        <v>30381.63</v>
      </c>
      <c r="E8" s="1">
        <f t="shared" ca="1" si="3"/>
        <v>110715</v>
      </c>
      <c r="F8" s="13">
        <f>'Dados gerais'!E9</f>
        <v>209</v>
      </c>
      <c r="G8" s="16">
        <f t="shared" ca="1" si="1"/>
        <v>529.73684210526312</v>
      </c>
      <c r="H8" s="16">
        <f>'Dados gerais'!D9</f>
        <v>3041</v>
      </c>
      <c r="I8" s="16">
        <f t="shared" ca="1" si="2"/>
        <v>36.407431765866491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>
      <c r="A9" s="13">
        <v>2021</v>
      </c>
      <c r="B9" s="14">
        <f>'Dados gerais'!B10</f>
        <v>44409</v>
      </c>
      <c r="C9" s="13" t="str">
        <f t="shared" si="0"/>
        <v>agosto</v>
      </c>
      <c r="D9" s="20">
        <f>(23104.93+26357.78)*60%</f>
        <v>29677.625999999997</v>
      </c>
      <c r="E9" s="1">
        <f t="shared" ca="1" si="3"/>
        <v>78823</v>
      </c>
      <c r="F9" s="13">
        <f>'Dados gerais'!E10</f>
        <v>203</v>
      </c>
      <c r="G9" s="16">
        <f t="shared" ca="1" si="1"/>
        <v>388.29064039408865</v>
      </c>
      <c r="H9" s="16">
        <f>'Dados gerais'!D10</f>
        <v>3041</v>
      </c>
      <c r="I9" s="16">
        <f t="shared" ca="1" si="2"/>
        <v>25.920092074975337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>
      <c r="A10" s="13">
        <v>2021</v>
      </c>
      <c r="B10" s="14">
        <f>'Dados gerais'!B11</f>
        <v>44440</v>
      </c>
      <c r="C10" s="13" t="str">
        <f t="shared" si="0"/>
        <v>setembro</v>
      </c>
      <c r="D10" s="20">
        <f>(24300.33+27753.1)*60%</f>
        <v>31232.057999999997</v>
      </c>
      <c r="E10" s="1">
        <f t="shared" ca="1" si="3"/>
        <v>110767</v>
      </c>
      <c r="F10" s="13">
        <f>'Dados gerais'!E11</f>
        <v>211</v>
      </c>
      <c r="G10" s="16">
        <f t="shared" ca="1" si="1"/>
        <v>524.96208530805688</v>
      </c>
      <c r="H10" s="16">
        <f>'Dados gerais'!D11</f>
        <v>3041</v>
      </c>
      <c r="I10" s="16">
        <f t="shared" ca="1" si="2"/>
        <v>36.424531404143373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>
      <c r="A11" s="13">
        <v>2021</v>
      </c>
      <c r="B11" s="14">
        <f>'Dados gerais'!B12</f>
        <v>44470</v>
      </c>
      <c r="C11" s="13" t="str">
        <f t="shared" si="0"/>
        <v>outubro</v>
      </c>
      <c r="D11" s="20">
        <f>(25009.39+28541.73)*60%</f>
        <v>32130.671999999995</v>
      </c>
      <c r="E11" s="1">
        <f t="shared" ca="1" si="3"/>
        <v>80731</v>
      </c>
      <c r="F11" s="13">
        <f>'Dados gerais'!E12</f>
        <v>219</v>
      </c>
      <c r="G11" s="16">
        <f t="shared" ca="1" si="1"/>
        <v>368.634703196347</v>
      </c>
      <c r="H11" s="16">
        <f>'Dados gerais'!D12</f>
        <v>3041</v>
      </c>
      <c r="I11" s="16">
        <f t="shared" ca="1" si="2"/>
        <v>26.547517264057877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>
      <c r="A12" s="13">
        <v>2021</v>
      </c>
      <c r="B12" s="14">
        <f>'Dados gerais'!B13</f>
        <v>44501</v>
      </c>
      <c r="C12" s="13" t="str">
        <f t="shared" si="0"/>
        <v>novembro</v>
      </c>
      <c r="D12" s="20">
        <f>(28412.53+32208.03)*60%</f>
        <v>36372.335999999996</v>
      </c>
      <c r="E12" s="1">
        <f t="shared" ca="1" si="3"/>
        <v>111799</v>
      </c>
      <c r="F12" s="13">
        <f>'Dados gerais'!E13</f>
        <v>219</v>
      </c>
      <c r="G12" s="16">
        <f t="shared" ca="1" si="1"/>
        <v>510.49771689497715</v>
      </c>
      <c r="H12" s="16">
        <f>'Dados gerais'!D13</f>
        <v>3041</v>
      </c>
      <c r="I12" s="16">
        <f t="shared" ca="1" si="2"/>
        <v>36.763893456099964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>
      <c r="A13" s="13">
        <v>2021</v>
      </c>
      <c r="B13" s="14">
        <f>'Dados gerais'!B14</f>
        <v>44531</v>
      </c>
      <c r="C13" s="13" t="str">
        <f t="shared" si="0"/>
        <v>dezembro</v>
      </c>
      <c r="D13" s="20">
        <f>(30323.17+25927.72)*60%</f>
        <v>33750.534</v>
      </c>
      <c r="E13" s="1">
        <f t="shared" ca="1" si="3"/>
        <v>98727</v>
      </c>
      <c r="F13" s="13">
        <f>'Dados gerais'!E14</f>
        <v>220</v>
      </c>
      <c r="G13" s="16">
        <f t="shared" ca="1" si="1"/>
        <v>448.7590909090909</v>
      </c>
      <c r="H13" s="16">
        <f>'Dados gerais'!D14</f>
        <v>3041</v>
      </c>
      <c r="I13" s="16">
        <f t="shared" ca="1" si="2"/>
        <v>32.465307464649783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>
      <c r="A14" s="13">
        <v>2022</v>
      </c>
      <c r="B14" s="14">
        <f>'Dados gerais'!H3</f>
        <v>44562</v>
      </c>
      <c r="C14" s="13" t="str">
        <f t="shared" si="0"/>
        <v>janeiro</v>
      </c>
      <c r="D14" s="20">
        <v>40097.300000000003</v>
      </c>
      <c r="E14" s="1">
        <f t="shared" ca="1" si="3"/>
        <v>102928</v>
      </c>
      <c r="F14" s="13">
        <f>'Dados gerais'!K3</f>
        <v>222</v>
      </c>
      <c r="G14" s="16">
        <f t="shared" ca="1" si="1"/>
        <v>463.63963963963965</v>
      </c>
      <c r="H14" s="16">
        <f>'Dados gerais'!J3</f>
        <v>3041</v>
      </c>
      <c r="I14" s="16">
        <f t="shared" ca="1" si="2"/>
        <v>33.846760933903319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>
      <c r="A15" s="13">
        <v>2022</v>
      </c>
      <c r="B15" s="14">
        <f>'Dados gerais'!H4</f>
        <v>44593</v>
      </c>
      <c r="C15" s="13" t="str">
        <f t="shared" si="0"/>
        <v>fevereiro</v>
      </c>
      <c r="D15" s="20">
        <v>34466.32</v>
      </c>
      <c r="E15" s="1">
        <f t="shared" ca="1" si="3"/>
        <v>74315</v>
      </c>
      <c r="F15" s="13">
        <f>'Dados gerais'!K4</f>
        <v>220</v>
      </c>
      <c r="G15" s="16">
        <f t="shared" ca="1" si="1"/>
        <v>337.79545454545456</v>
      </c>
      <c r="H15" s="16">
        <f>'Dados gerais'!J4</f>
        <v>3041</v>
      </c>
      <c r="I15" s="16">
        <f t="shared" ca="1" si="2"/>
        <v>24.437684972048668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>
      <c r="A16" s="13">
        <v>2022</v>
      </c>
      <c r="B16" s="14">
        <f>'Dados gerais'!H5</f>
        <v>44621</v>
      </c>
      <c r="C16" s="13" t="s">
        <v>7</v>
      </c>
      <c r="D16" s="20">
        <v>40107.360000000001</v>
      </c>
      <c r="E16" s="1">
        <f t="shared" ca="1" si="3"/>
        <v>91280</v>
      </c>
      <c r="F16" s="13">
        <f>'Dados gerais'!K5</f>
        <v>221</v>
      </c>
      <c r="G16" s="16">
        <f t="shared" ca="1" si="1"/>
        <v>413.03167420814481</v>
      </c>
      <c r="H16" s="16">
        <f>'Dados gerais'!J5</f>
        <v>3041</v>
      </c>
      <c r="I16" s="16">
        <f t="shared" ca="1" si="2"/>
        <v>30.016441959881618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>
      <c r="A17" s="13">
        <v>2022</v>
      </c>
      <c r="B17" s="14">
        <f>'Dados gerais'!H6</f>
        <v>44652</v>
      </c>
      <c r="C17" s="13" t="s">
        <v>8</v>
      </c>
      <c r="D17" s="20">
        <v>35625.14</v>
      </c>
      <c r="E17" s="1">
        <f t="shared" ca="1" si="3"/>
        <v>94633</v>
      </c>
      <c r="F17" s="13">
        <f>'Dados gerais'!K6</f>
        <v>232</v>
      </c>
      <c r="G17" s="16">
        <f t="shared" ca="1" si="1"/>
        <v>407.90086206896552</v>
      </c>
      <c r="H17" s="16">
        <f>'Dados gerais'!J6</f>
        <v>3041</v>
      </c>
      <c r="I17" s="16">
        <f t="shared" ca="1" si="2"/>
        <v>31.119039789542914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>
      <c r="A18" s="13">
        <v>2022</v>
      </c>
      <c r="B18" s="14">
        <f>'Dados gerais'!H7</f>
        <v>44682</v>
      </c>
      <c r="C18" s="13" t="s">
        <v>9</v>
      </c>
      <c r="D18" s="20">
        <v>28028.720000000001</v>
      </c>
      <c r="E18" s="1">
        <f t="shared" ca="1" si="3"/>
        <v>110134</v>
      </c>
      <c r="F18" s="13">
        <f>'Dados gerais'!K7</f>
        <v>227</v>
      </c>
      <c r="G18" s="16">
        <f t="shared" ca="1" si="1"/>
        <v>485.17180616740086</v>
      </c>
      <c r="H18" s="16">
        <f>'Dados gerais'!J7</f>
        <v>3041</v>
      </c>
      <c r="I18" s="16">
        <f t="shared" ca="1" si="2"/>
        <v>36.216376192042091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>
      <c r="A19" s="13">
        <v>2022</v>
      </c>
      <c r="B19" s="14">
        <f>'Dados gerais'!H8</f>
        <v>44713</v>
      </c>
      <c r="C19" s="13" t="s">
        <v>10</v>
      </c>
      <c r="D19" s="20">
        <v>24345.491999999998</v>
      </c>
      <c r="E19" s="1">
        <f t="shared" ca="1" si="3"/>
        <v>116188</v>
      </c>
      <c r="F19" s="13">
        <f>'Dados gerais'!K8</f>
        <v>229</v>
      </c>
      <c r="G19" s="16">
        <f t="shared" ca="1" si="1"/>
        <v>507.3711790393013</v>
      </c>
      <c r="H19" s="16">
        <f>'Dados gerais'!J8</f>
        <v>3041</v>
      </c>
      <c r="I19" s="16">
        <f t="shared" ca="1" si="2"/>
        <v>38.207168694508383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>
      <c r="A20" s="13">
        <v>2022</v>
      </c>
      <c r="B20" s="14">
        <f>'Dados gerais'!H9</f>
        <v>44743</v>
      </c>
      <c r="C20" s="13" t="s">
        <v>11</v>
      </c>
      <c r="D20" s="20">
        <v>22727.135999999999</v>
      </c>
      <c r="E20" s="1">
        <f t="shared" ca="1" si="3"/>
        <v>112196</v>
      </c>
      <c r="F20" s="13">
        <f>'Dados gerais'!K9</f>
        <v>234</v>
      </c>
      <c r="G20" s="16">
        <f t="shared" ca="1" si="1"/>
        <v>479.47008547008545</v>
      </c>
      <c r="H20" s="16">
        <f>'Dados gerais'!J9</f>
        <v>3041</v>
      </c>
      <c r="I20" s="16">
        <f t="shared" ca="1" si="2"/>
        <v>36.89444261756001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5.75" customHeight="1">
      <c r="A21" s="13">
        <v>2022</v>
      </c>
      <c r="B21" s="14">
        <f>'Dados gerais'!H10</f>
        <v>44774</v>
      </c>
      <c r="C21" s="13" t="s">
        <v>12</v>
      </c>
      <c r="D21" s="20">
        <v>22943.111999999997</v>
      </c>
      <c r="E21" s="1">
        <f t="shared" ca="1" si="3"/>
        <v>72910</v>
      </c>
      <c r="F21" s="13">
        <f>'Dados gerais'!K10</f>
        <v>229</v>
      </c>
      <c r="G21" s="16">
        <f t="shared" ca="1" si="1"/>
        <v>318.38427947598251</v>
      </c>
      <c r="H21" s="16">
        <f>'Dados gerais'!J10</f>
        <v>3041</v>
      </c>
      <c r="I21" s="16">
        <f t="shared" ca="1" si="2"/>
        <v>23.975665899375205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5.75" customHeight="1">
      <c r="A22" s="13">
        <v>2022</v>
      </c>
      <c r="B22" s="14">
        <f>'Dados gerais'!H11</f>
        <v>44805</v>
      </c>
      <c r="C22" s="13" t="s">
        <v>13</v>
      </c>
      <c r="D22" s="20">
        <v>23574.335999999999</v>
      </c>
      <c r="E22" s="1">
        <f t="shared" ca="1" si="3"/>
        <v>107357</v>
      </c>
      <c r="F22" s="13">
        <f>'Dados gerais'!K11</f>
        <v>231</v>
      </c>
      <c r="G22" s="16">
        <f t="shared" ca="1" si="1"/>
        <v>464.74891774891773</v>
      </c>
      <c r="H22" s="16">
        <f>'Dados gerais'!J11</f>
        <v>3041</v>
      </c>
      <c r="I22" s="16">
        <f t="shared" ca="1" si="2"/>
        <v>35.303189740217036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.75" customHeight="1">
      <c r="A23" s="13">
        <v>2022</v>
      </c>
      <c r="B23" s="14">
        <f>'Dados gerais'!H12</f>
        <v>44835</v>
      </c>
      <c r="C23" s="13" t="s">
        <v>14</v>
      </c>
      <c r="D23" s="20">
        <v>23989.769999999997</v>
      </c>
      <c r="E23" s="1">
        <f t="shared" ca="1" si="3"/>
        <v>123869</v>
      </c>
      <c r="F23" s="13">
        <f>'Dados gerais'!K12</f>
        <v>231</v>
      </c>
      <c r="G23" s="16">
        <f t="shared" ca="1" si="1"/>
        <v>536.22943722943728</v>
      </c>
      <c r="H23" s="16">
        <f>'Dados gerais'!J12</f>
        <v>3041</v>
      </c>
      <c r="I23" s="16">
        <f t="shared" ca="1" si="2"/>
        <v>40.732982571522527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5.75" customHeight="1">
      <c r="A24" s="13">
        <v>2022</v>
      </c>
      <c r="B24" s="14">
        <f>'Dados gerais'!H13</f>
        <v>44866</v>
      </c>
      <c r="C24" s="13" t="s">
        <v>15</v>
      </c>
      <c r="D24" s="20">
        <v>22801.385999999999</v>
      </c>
      <c r="E24" s="1">
        <f t="shared" ca="1" si="3"/>
        <v>90387</v>
      </c>
      <c r="F24" s="13">
        <f>'Dados gerais'!K13</f>
        <v>234</v>
      </c>
      <c r="G24" s="16">
        <f t="shared" ca="1" si="1"/>
        <v>386.26923076923077</v>
      </c>
      <c r="H24" s="16">
        <f>'Dados gerais'!J13</f>
        <v>3041</v>
      </c>
      <c r="I24" s="16">
        <f t="shared" ca="1" si="2"/>
        <v>29.722788556395923</v>
      </c>
      <c r="J24" s="2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5.75" customHeight="1">
      <c r="A25" s="13">
        <v>2023</v>
      </c>
      <c r="B25" s="14">
        <f>'Dados gerais'!N3</f>
        <v>44927</v>
      </c>
      <c r="C25" s="13" t="str">
        <f>TEXT(B25,"mmmm")</f>
        <v>janeiro</v>
      </c>
      <c r="D25" s="22">
        <v>23721.96</v>
      </c>
      <c r="E25" s="1">
        <f t="shared" ca="1" si="3"/>
        <v>97126</v>
      </c>
      <c r="F25" s="13">
        <f>'Dados gerais'!Q3</f>
        <v>236</v>
      </c>
      <c r="G25" s="16">
        <f t="shared" ca="1" si="1"/>
        <v>411.55084745762713</v>
      </c>
      <c r="H25" s="16">
        <f>'Dados gerais'!P3</f>
        <v>3041</v>
      </c>
      <c r="I25" s="16">
        <f t="shared" ca="1" si="2"/>
        <v>31.938835909240382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5.75" customHeight="1">
      <c r="A26" s="13">
        <v>2023</v>
      </c>
      <c r="B26" s="14">
        <f>'Dados gerais'!N4</f>
        <v>44958</v>
      </c>
      <c r="C26" s="13" t="str">
        <f>TEXT(B26,"mmmm")</f>
        <v>fevereiro</v>
      </c>
      <c r="D26" s="22">
        <v>26155.326000000005</v>
      </c>
      <c r="E26" s="1">
        <f t="shared" ca="1" si="3"/>
        <v>95778</v>
      </c>
      <c r="F26" s="13">
        <f>'Dados gerais'!Q4</f>
        <v>230</v>
      </c>
      <c r="G26" s="16">
        <f t="shared" ca="1" si="1"/>
        <v>416.42608695652171</v>
      </c>
      <c r="H26" s="16">
        <f>'Dados gerais'!P4</f>
        <v>3041</v>
      </c>
      <c r="I26" s="16">
        <f t="shared" ca="1" si="2"/>
        <v>31.495560670831964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5.75" customHeight="1">
      <c r="A27" s="13">
        <v>2023</v>
      </c>
      <c r="B27" s="14">
        <f>'Dados gerais'!N5</f>
        <v>44986</v>
      </c>
      <c r="C27" s="13" t="s">
        <v>7</v>
      </c>
      <c r="D27" s="22">
        <v>28441.128000000001</v>
      </c>
      <c r="E27" s="1">
        <f t="shared" ca="1" si="3"/>
        <v>85633</v>
      </c>
      <c r="F27" s="13">
        <f>'Dados gerais'!Q5</f>
        <v>234</v>
      </c>
      <c r="G27" s="16">
        <f t="shared" ca="1" si="1"/>
        <v>365.95299145299145</v>
      </c>
      <c r="H27" s="16">
        <f>'Dados gerais'!P5</f>
        <v>3041</v>
      </c>
      <c r="I27" s="16">
        <f t="shared" ca="1" si="2"/>
        <v>28.159487010851695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customHeight="1">
      <c r="A28" s="13">
        <v>2023</v>
      </c>
      <c r="B28" s="14">
        <f>'Dados gerais'!N6</f>
        <v>45017</v>
      </c>
      <c r="C28" s="13" t="s">
        <v>8</v>
      </c>
      <c r="D28" s="22">
        <v>24535.626</v>
      </c>
      <c r="E28" s="1">
        <f t="shared" ca="1" si="3"/>
        <v>106778</v>
      </c>
      <c r="F28" s="13">
        <f>'Dados gerais'!Q6</f>
        <v>236</v>
      </c>
      <c r="G28" s="16">
        <f t="shared" ca="1" si="1"/>
        <v>452.44915254237287</v>
      </c>
      <c r="H28" s="16">
        <f>'Dados gerais'!P6</f>
        <v>3041</v>
      </c>
      <c r="I28" s="16">
        <f t="shared" ca="1" si="2"/>
        <v>35.1127918447879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customHeight="1">
      <c r="A29" s="13">
        <v>2023</v>
      </c>
      <c r="B29" s="14">
        <f>'Dados gerais'!N7</f>
        <v>45047</v>
      </c>
      <c r="C29" s="13" t="s">
        <v>9</v>
      </c>
      <c r="D29" s="22">
        <v>25421.784</v>
      </c>
      <c r="E29" s="1">
        <f t="shared" ca="1" si="3"/>
        <v>88232</v>
      </c>
      <c r="F29" s="13">
        <f>'Dados gerais'!Q7</f>
        <v>237</v>
      </c>
      <c r="G29" s="16">
        <f t="shared" ca="1" si="1"/>
        <v>372.28691983122366</v>
      </c>
      <c r="H29" s="16">
        <f>'Dados gerais'!P7</f>
        <v>3041</v>
      </c>
      <c r="I29" s="16">
        <f t="shared" ca="1" si="2"/>
        <v>29.014140085498191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5.75" customHeight="1">
      <c r="A30" s="13">
        <v>2023</v>
      </c>
      <c r="B30" s="14">
        <f>'Dados gerais'!N8</f>
        <v>45078</v>
      </c>
      <c r="C30" s="13" t="s">
        <v>10</v>
      </c>
      <c r="D30" s="22">
        <v>20223</v>
      </c>
      <c r="E30" s="1">
        <f t="shared" ca="1" si="3"/>
        <v>83651</v>
      </c>
      <c r="F30" s="13">
        <f>'Dados gerais'!Q8</f>
        <v>239</v>
      </c>
      <c r="G30" s="16">
        <f t="shared" ca="1" si="1"/>
        <v>350.0041841004184</v>
      </c>
      <c r="H30" s="16">
        <f>'Dados gerais'!P8</f>
        <v>3041</v>
      </c>
      <c r="I30" s="16">
        <f t="shared" ca="1" si="2"/>
        <v>27.507727721144359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5.75" customHeight="1">
      <c r="A31" s="13">
        <v>2023</v>
      </c>
      <c r="B31" s="14">
        <f>'Dados gerais'!N9</f>
        <v>45108</v>
      </c>
      <c r="C31" s="13" t="s">
        <v>11</v>
      </c>
      <c r="D31" s="22">
        <v>20354.519999999997</v>
      </c>
      <c r="E31" s="1">
        <f t="shared" ca="1" si="3"/>
        <v>123285</v>
      </c>
      <c r="F31" s="13">
        <f>'Dados gerais'!Q9</f>
        <v>248</v>
      </c>
      <c r="G31" s="16">
        <f t="shared" ca="1" si="1"/>
        <v>497.11693548387098</v>
      </c>
      <c r="H31" s="16">
        <f>'Dados gerais'!P9</f>
        <v>3041</v>
      </c>
      <c r="I31" s="16">
        <f t="shared" ca="1" si="2"/>
        <v>40.540940480105228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.75" customHeight="1">
      <c r="A32" s="13">
        <v>2023</v>
      </c>
      <c r="B32" s="14">
        <f>'Dados gerais'!N10</f>
        <v>45139</v>
      </c>
      <c r="C32" s="13" t="s">
        <v>12</v>
      </c>
      <c r="D32" s="22">
        <v>21738.383999999998</v>
      </c>
      <c r="E32" s="1">
        <f t="shared" ca="1" si="3"/>
        <v>102539</v>
      </c>
      <c r="F32" s="13">
        <f>'Dados gerais'!Q10</f>
        <v>248</v>
      </c>
      <c r="G32" s="16">
        <f t="shared" ca="1" si="1"/>
        <v>413.46370967741933</v>
      </c>
      <c r="H32" s="16">
        <f>'Dados gerais'!P10</f>
        <v>3041</v>
      </c>
      <c r="I32" s="16">
        <f t="shared" ca="1" si="2"/>
        <v>33.718842486024336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.75" customHeight="1">
      <c r="A33" s="13">
        <v>2023</v>
      </c>
      <c r="B33" s="14">
        <f>'Dados gerais'!N11</f>
        <v>45170</v>
      </c>
      <c r="C33" s="13" t="s">
        <v>13</v>
      </c>
      <c r="D33" s="22">
        <v>22209.882000000001</v>
      </c>
      <c r="E33" s="1">
        <f t="shared" ca="1" si="3"/>
        <v>101582</v>
      </c>
      <c r="F33" s="13">
        <f>'Dados gerais'!Q11</f>
        <v>248</v>
      </c>
      <c r="G33" s="16">
        <f t="shared" ca="1" si="1"/>
        <v>409.60483870967744</v>
      </c>
      <c r="H33" s="16">
        <f>'Dados gerais'!P11</f>
        <v>3041</v>
      </c>
      <c r="I33" s="16">
        <f t="shared" ca="1" si="2"/>
        <v>33.404143373890165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75" customHeight="1">
      <c r="A34" s="13">
        <v>2023</v>
      </c>
      <c r="B34" s="14">
        <f>'Dados gerais'!N12</f>
        <v>45200</v>
      </c>
      <c r="C34" s="13" t="s">
        <v>14</v>
      </c>
      <c r="D34" s="22">
        <f>(24569.96+15079.99)*60%</f>
        <v>23789.969999999998</v>
      </c>
      <c r="E34" s="1">
        <f t="shared" ca="1" si="3"/>
        <v>80837</v>
      </c>
      <c r="F34" s="13">
        <f>'Dados gerais'!Q12</f>
        <v>247</v>
      </c>
      <c r="G34" s="16">
        <f t="shared" ca="1" si="1"/>
        <v>327.27530364372467</v>
      </c>
      <c r="H34" s="16">
        <f>'Dados gerais'!P12</f>
        <v>3041</v>
      </c>
      <c r="I34" s="16">
        <f t="shared" ca="1" si="2"/>
        <v>26.582374219006905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customHeight="1">
      <c r="A35" s="13">
        <v>2023</v>
      </c>
      <c r="B35" s="14">
        <f>'Dados gerais'!N13</f>
        <v>45231</v>
      </c>
      <c r="C35" s="13" t="s">
        <v>15</v>
      </c>
      <c r="D35" s="22">
        <f>(23833.32+14500.64)*60%</f>
        <v>23000.376</v>
      </c>
      <c r="E35" s="1">
        <f t="shared" ca="1" si="3"/>
        <v>122634</v>
      </c>
      <c r="F35" s="13">
        <f>'Dados gerais'!Q13</f>
        <v>246</v>
      </c>
      <c r="G35" s="16">
        <f t="shared" ca="1" si="1"/>
        <v>498.51219512195121</v>
      </c>
      <c r="H35" s="16">
        <f>'Dados gerais'!P13</f>
        <v>3041</v>
      </c>
      <c r="I35" s="16">
        <f t="shared" ca="1" si="2"/>
        <v>40.326866162446564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75" customHeight="1">
      <c r="A36" s="13">
        <v>2023</v>
      </c>
      <c r="B36" s="14">
        <f>'Dados gerais'!N14</f>
        <v>45261</v>
      </c>
      <c r="C36" s="13" t="s">
        <v>16</v>
      </c>
      <c r="D36" s="22">
        <f>(23540.2+14250.43)*60%</f>
        <v>22674.378000000001</v>
      </c>
      <c r="E36" s="1">
        <f t="shared" ca="1" si="3"/>
        <v>114427</v>
      </c>
      <c r="F36" s="13">
        <f>'Dados gerais'!Q14</f>
        <v>243</v>
      </c>
      <c r="G36" s="16">
        <f t="shared" ca="1" si="1"/>
        <v>470.89300411522635</v>
      </c>
      <c r="H36" s="16">
        <f>'Dados gerais'!P14</f>
        <v>3041</v>
      </c>
      <c r="I36" s="16">
        <f t="shared" ca="1" si="2"/>
        <v>37.628082867477801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" customHeight="1">
      <c r="A37" s="13">
        <v>2022</v>
      </c>
      <c r="B37" s="14">
        <f>'Dados gerais'!H14</f>
        <v>44896</v>
      </c>
      <c r="C37" s="13" t="s">
        <v>16</v>
      </c>
      <c r="D37" s="20">
        <v>23721.96</v>
      </c>
      <c r="E37" s="1">
        <f t="shared" ca="1" si="3"/>
        <v>97808</v>
      </c>
      <c r="F37" s="13">
        <f>'Dados gerais'!K14</f>
        <v>237</v>
      </c>
      <c r="G37" s="16">
        <f t="shared" ca="1" si="1"/>
        <v>412.69198312236284</v>
      </c>
      <c r="H37" s="16">
        <f>'Dados gerais'!J14</f>
        <v>3041</v>
      </c>
      <c r="I37" s="16">
        <f t="shared" ca="1" si="2"/>
        <v>32.163104242025646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>
      <c r="A38" s="13">
        <v>2024</v>
      </c>
      <c r="B38" s="14">
        <f>'Dados gerais'!T3</f>
        <v>45292</v>
      </c>
      <c r="C38" s="13" t="str">
        <f>TEXT(B38,"mmmm")</f>
        <v>janeiro</v>
      </c>
      <c r="D38" s="22">
        <f>(25633.98+16093.11)*60%</f>
        <v>25036.253999999997</v>
      </c>
      <c r="E38" s="1">
        <f t="shared" ca="1" si="3"/>
        <v>77470</v>
      </c>
      <c r="F38" s="13">
        <f>'Dados gerais'!W3</f>
        <v>250</v>
      </c>
      <c r="G38" s="16">
        <f t="shared" ca="1" si="1"/>
        <v>309.88</v>
      </c>
      <c r="H38" s="16">
        <f>'Dados gerais'!V3</f>
        <v>3041</v>
      </c>
      <c r="I38" s="16">
        <f t="shared" ca="1" si="2"/>
        <v>25.475172640578759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>
      <c r="A39" s="13">
        <v>2024</v>
      </c>
      <c r="B39" s="14">
        <f>'Dados gerais'!T4</f>
        <v>45323</v>
      </c>
      <c r="C39" s="13" t="s">
        <v>6</v>
      </c>
      <c r="D39" s="22">
        <f>(24184.7+12065.47)*60%</f>
        <v>21750.101999999999</v>
      </c>
      <c r="E39" s="1">
        <f t="shared" ca="1" si="3"/>
        <v>86811</v>
      </c>
      <c r="F39" s="13">
        <f>'Dados gerais'!W4</f>
        <v>249</v>
      </c>
      <c r="G39" s="16">
        <f t="shared" ca="1" si="1"/>
        <v>348.63855421686748</v>
      </c>
      <c r="H39" s="16">
        <f>'Dados gerais'!V4</f>
        <v>3041</v>
      </c>
      <c r="I39" s="16">
        <f t="shared" ca="1" si="2"/>
        <v>28.54685958566261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>
      <c r="A40" s="13">
        <v>2024</v>
      </c>
      <c r="B40" s="14">
        <f>'Dados gerais'!T5</f>
        <v>45352</v>
      </c>
      <c r="C40" s="13" t="s">
        <v>7</v>
      </c>
      <c r="D40" s="22">
        <f>(25252.58+13356.35)*60%</f>
        <v>23165.358</v>
      </c>
      <c r="E40" s="1">
        <f t="shared" ca="1" si="3"/>
        <v>95372</v>
      </c>
      <c r="F40" s="13">
        <f>'Dados gerais'!W5</f>
        <v>250</v>
      </c>
      <c r="G40" s="16">
        <f t="shared" ca="1" si="1"/>
        <v>381.488</v>
      </c>
      <c r="H40" s="16">
        <f>'Dados gerais'!V5</f>
        <v>3041</v>
      </c>
      <c r="I40" s="16">
        <f t="shared" ca="1" si="2"/>
        <v>31.362051956593227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>
      <c r="A41" s="13">
        <v>2024</v>
      </c>
      <c r="B41" s="14">
        <f>'Dados gerais'!T6</f>
        <v>45383</v>
      </c>
      <c r="C41" s="13" t="s">
        <v>8</v>
      </c>
      <c r="D41" s="22">
        <f>(25716.59+15925.22)*60%</f>
        <v>24985.085999999999</v>
      </c>
      <c r="E41" s="1">
        <f t="shared" ca="1" si="3"/>
        <v>85059</v>
      </c>
      <c r="F41" s="13">
        <f>'Dados gerais'!W6</f>
        <v>259</v>
      </c>
      <c r="G41" s="16">
        <f t="shared" ca="1" si="1"/>
        <v>328.41312741312743</v>
      </c>
      <c r="H41" s="16">
        <f>'Dados gerais'!V6</f>
        <v>3041</v>
      </c>
      <c r="I41" s="16">
        <f t="shared" ca="1" si="2"/>
        <v>27.970733311410719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>
      <c r="A42" s="13">
        <v>2024</v>
      </c>
      <c r="B42" s="14">
        <f>'Dados gerais'!T7</f>
        <v>45413</v>
      </c>
      <c r="C42" s="13" t="s">
        <v>9</v>
      </c>
      <c r="D42" s="22">
        <f>(26671.22+14276.55)*60%</f>
        <v>24568.662</v>
      </c>
      <c r="E42" s="1">
        <f t="shared" ca="1" si="3"/>
        <v>88372</v>
      </c>
      <c r="F42" s="13">
        <f>'Dados gerais'!W7</f>
        <v>257</v>
      </c>
      <c r="G42" s="16">
        <f t="shared" ca="1" si="1"/>
        <v>343.85992217898831</v>
      </c>
      <c r="H42" s="16">
        <f>'Dados gerais'!V7</f>
        <v>3041</v>
      </c>
      <c r="I42" s="16">
        <f t="shared" ca="1" si="2"/>
        <v>29.060177573166722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>
      <c r="A43" s="13">
        <v>2024</v>
      </c>
      <c r="B43" s="14">
        <f>'Dados gerais'!T8</f>
        <v>45444</v>
      </c>
      <c r="C43" s="13" t="s">
        <v>10</v>
      </c>
      <c r="D43" s="22">
        <f>(14607.3+25099.81)*60%</f>
        <v>23824.266</v>
      </c>
      <c r="E43" s="1">
        <f t="shared" ca="1" si="3"/>
        <v>94063</v>
      </c>
      <c r="F43" s="13">
        <f>'Dados gerais'!W8</f>
        <v>255</v>
      </c>
      <c r="G43" s="16">
        <f t="shared" ca="1" si="1"/>
        <v>368.87450980392157</v>
      </c>
      <c r="H43" s="16">
        <f>'Dados gerais'!V8</f>
        <v>3041</v>
      </c>
      <c r="I43" s="16">
        <f t="shared" ca="1" si="2"/>
        <v>30.931601446892468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>
      <c r="A44" s="13">
        <v>2024</v>
      </c>
      <c r="B44" s="14">
        <f>'Dados gerais'!T9</f>
        <v>45474</v>
      </c>
      <c r="C44" s="13" t="s">
        <v>11</v>
      </c>
      <c r="D44" s="22">
        <f>(26674.97+15180.79)*60%</f>
        <v>25113.456000000002</v>
      </c>
      <c r="E44" s="1">
        <f t="shared" ca="1" si="3"/>
        <v>98756</v>
      </c>
      <c r="F44" s="13">
        <f>'Dados gerais'!W9</f>
        <v>262</v>
      </c>
      <c r="G44" s="16">
        <f t="shared" ca="1" si="1"/>
        <v>376.93129770992368</v>
      </c>
      <c r="H44" s="16">
        <f>'Dados gerais'!V9</f>
        <v>3041</v>
      </c>
      <c r="I44" s="16">
        <f t="shared" ca="1" si="2"/>
        <v>32.474843801381127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>
      <c r="A45" s="13">
        <v>2024</v>
      </c>
      <c r="B45" s="14">
        <f>'Dados gerais'!T10</f>
        <v>45505</v>
      </c>
      <c r="C45" s="13" t="s">
        <v>12</v>
      </c>
      <c r="D45" s="22">
        <f>(15103.71+25944.66)*60%</f>
        <v>24629.021999999997</v>
      </c>
      <c r="E45" s="1">
        <f t="shared" ca="1" si="3"/>
        <v>97904</v>
      </c>
      <c r="F45" s="13">
        <f>'Dados gerais'!W10</f>
        <v>258</v>
      </c>
      <c r="G45" s="16">
        <f t="shared" ca="1" si="1"/>
        <v>379.47286821705427</v>
      </c>
      <c r="H45" s="16">
        <f>'Dados gerais'!V10</f>
        <v>3041</v>
      </c>
      <c r="I45" s="16">
        <f t="shared" ca="1" si="2"/>
        <v>32.194672804998355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>
      <c r="A46" s="13">
        <v>2024</v>
      </c>
      <c r="B46" s="14">
        <f>'Dados gerais'!T11</f>
        <v>45536</v>
      </c>
      <c r="C46" s="13" t="s">
        <v>13</v>
      </c>
      <c r="D46" s="22">
        <f>(16353.61+27463.53)*60%</f>
        <v>26290.284</v>
      </c>
      <c r="E46" s="1">
        <f t="shared" ca="1" si="3"/>
        <v>99990</v>
      </c>
      <c r="F46" s="13">
        <f>'Dados gerais'!W11</f>
        <v>258</v>
      </c>
      <c r="G46" s="16">
        <f t="shared" ca="1" si="1"/>
        <v>387.55813953488371</v>
      </c>
      <c r="H46" s="16">
        <f>'Dados gerais'!V11</f>
        <v>3041</v>
      </c>
      <c r="I46" s="16">
        <f t="shared" ca="1" si="2"/>
        <v>32.880631371259454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>
      <c r="A47" s="13">
        <v>2024</v>
      </c>
      <c r="B47" s="14">
        <f>'Dados gerais'!T12</f>
        <v>45566</v>
      </c>
      <c r="C47" s="13" t="s">
        <v>14</v>
      </c>
      <c r="D47" s="22">
        <f>(16798.98+28409.42)*60%</f>
        <v>27125.039999999997</v>
      </c>
      <c r="E47" s="1">
        <f t="shared" ca="1" si="3"/>
        <v>82206</v>
      </c>
      <c r="F47" s="13">
        <f>'Dados gerais'!W12</f>
        <v>264</v>
      </c>
      <c r="G47" s="16">
        <f t="shared" ca="1" si="1"/>
        <v>311.38636363636363</v>
      </c>
      <c r="H47" s="16">
        <f>'Dados gerais'!V12</f>
        <v>3041</v>
      </c>
      <c r="I47" s="16">
        <f t="shared" ca="1" si="2"/>
        <v>27.032555080565604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>
      <c r="A48" s="13">
        <v>2024</v>
      </c>
      <c r="B48" s="14">
        <f>'Dados gerais'!T13</f>
        <v>45597</v>
      </c>
      <c r="C48" s="13" t="s">
        <v>15</v>
      </c>
      <c r="D48" s="22">
        <f>(25175.55+15578.68)*60%</f>
        <v>24452.537999999997</v>
      </c>
      <c r="E48" s="1">
        <f t="shared" ca="1" si="3"/>
        <v>89210</v>
      </c>
      <c r="F48" s="13">
        <f>'Dados gerais'!W13</f>
        <v>266</v>
      </c>
      <c r="G48" s="16">
        <f t="shared" ca="1" si="1"/>
        <v>335.37593984962405</v>
      </c>
      <c r="H48" s="16">
        <f>'Dados gerais'!V13</f>
        <v>3041</v>
      </c>
      <c r="I48" s="16">
        <f t="shared" ca="1" si="2"/>
        <v>29.335744820782637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>
      <c r="A49" s="13">
        <v>2024</v>
      </c>
      <c r="B49" s="14">
        <f>'Dados gerais'!T14</f>
        <v>45627</v>
      </c>
      <c r="C49" s="13" t="s">
        <v>16</v>
      </c>
      <c r="D49" s="22">
        <f>(16587.5+28094.82)*60%</f>
        <v>26809.392</v>
      </c>
      <c r="E49" s="1">
        <f t="shared" ca="1" si="3"/>
        <v>110090</v>
      </c>
      <c r="F49" s="13">
        <f>'Dados gerais'!W14</f>
        <v>278</v>
      </c>
      <c r="G49" s="16">
        <f t="shared" ca="1" si="1"/>
        <v>396.00719424460431</v>
      </c>
      <c r="H49" s="16">
        <f>'Dados gerais'!V14</f>
        <v>3041</v>
      </c>
      <c r="I49" s="16">
        <f t="shared" ca="1" si="2"/>
        <v>36.201907267346265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>
      <c r="A50" s="13">
        <v>2025</v>
      </c>
      <c r="B50" s="14">
        <f>'Dados gerais'!Z3</f>
        <v>45658</v>
      </c>
      <c r="C50" s="13" t="str">
        <f>'Dados gerais'!AA3</f>
        <v>janeiro</v>
      </c>
      <c r="D50" s="22">
        <f>(17851.52+30162.42)*60%</f>
        <v>28808.364000000001</v>
      </c>
      <c r="E50" s="1">
        <f t="shared" ca="1" si="3"/>
        <v>116514</v>
      </c>
      <c r="F50" s="13">
        <f>'Dados gerais'!AC3</f>
        <v>287</v>
      </c>
      <c r="G50" s="16">
        <f t="shared" ca="1" si="1"/>
        <v>405.97212543554008</v>
      </c>
      <c r="H50" s="16">
        <v>3041</v>
      </c>
      <c r="I50" s="16">
        <f t="shared" ca="1" si="2"/>
        <v>38.314370272936536</v>
      </c>
      <c r="J50" s="1"/>
      <c r="K50" s="1">
        <f ca="1">RANDBETWEEN(72000,125000)</f>
        <v>101132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>
      <c r="A51" s="13">
        <v>2025</v>
      </c>
      <c r="B51" s="14">
        <f>'Dados gerais'!Z4</f>
        <v>45689</v>
      </c>
      <c r="C51" s="13" t="str">
        <f>'Dados gerais'!AA4</f>
        <v>fevereiro</v>
      </c>
      <c r="D51" s="22">
        <f>(28212.32+17095.11)*60%</f>
        <v>27184.457999999999</v>
      </c>
      <c r="E51" s="1">
        <f t="shared" ca="1" si="3"/>
        <v>119725</v>
      </c>
      <c r="F51" s="13">
        <f>'Dados gerais'!AC4</f>
        <v>294</v>
      </c>
      <c r="G51" s="16">
        <f t="shared" ca="1" si="1"/>
        <v>407.22789115646259</v>
      </c>
      <c r="H51" s="16">
        <v>3041</v>
      </c>
      <c r="I51" s="16">
        <f t="shared" ca="1" si="2"/>
        <v>39.370272936534036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>
      <c r="A52" s="13">
        <v>2025</v>
      </c>
      <c r="B52" s="14">
        <f>'Dados gerais'!Z5</f>
        <v>45717</v>
      </c>
      <c r="C52" s="13" t="str">
        <f>'Dados gerais'!AA5</f>
        <v>março</v>
      </c>
      <c r="D52" s="22">
        <f>(27895.65+17762.37)*60%</f>
        <v>27394.812000000002</v>
      </c>
      <c r="E52" s="1">
        <f t="shared" ca="1" si="3"/>
        <v>73150</v>
      </c>
      <c r="F52" s="13">
        <f>'Dados gerais'!AC5</f>
        <v>294</v>
      </c>
      <c r="G52" s="16">
        <f t="shared" ca="1" si="1"/>
        <v>248.8095238095238</v>
      </c>
      <c r="H52" s="16">
        <v>3041</v>
      </c>
      <c r="I52" s="16">
        <f t="shared" ca="1" si="2"/>
        <v>24.054587306806972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>
      <c r="A53" s="13">
        <v>2025</v>
      </c>
      <c r="B53" s="14">
        <f>'Dados gerais'!Z6</f>
        <v>45748</v>
      </c>
      <c r="C53" s="13" t="str">
        <f>'Dados gerais'!AA6</f>
        <v>abril</v>
      </c>
      <c r="D53" s="22">
        <f>(16094.8+27204.72)*60%</f>
        <v>25979.712000000003</v>
      </c>
      <c r="E53" s="1">
        <f t="shared" ca="1" si="3"/>
        <v>82728</v>
      </c>
      <c r="F53" s="13">
        <f>'Dados gerais'!AC6</f>
        <v>0</v>
      </c>
      <c r="G53" s="16" t="e">
        <f t="shared" ca="1" si="1"/>
        <v>#DIV/0!</v>
      </c>
      <c r="H53" s="16">
        <v>3041</v>
      </c>
      <c r="I53" s="16">
        <f t="shared" ca="1" si="2"/>
        <v>27.204209141729695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>
      <c r="A54" s="13">
        <v>2025</v>
      </c>
      <c r="B54" s="14">
        <f>'Dados gerais'!Z7</f>
        <v>45778</v>
      </c>
      <c r="C54" s="13" t="str">
        <f>'Dados gerais'!AA7</f>
        <v>maio</v>
      </c>
      <c r="D54" s="22">
        <f>(15550.87+25958.59)*60%</f>
        <v>24905.675999999999</v>
      </c>
      <c r="E54" s="1">
        <f t="shared" ca="1" si="3"/>
        <v>105088</v>
      </c>
      <c r="F54" s="13">
        <f>'Dados gerais'!AC7</f>
        <v>0</v>
      </c>
      <c r="G54" s="16" t="e">
        <f t="shared" ca="1" si="1"/>
        <v>#DIV/0!</v>
      </c>
      <c r="H54" s="16">
        <v>3041</v>
      </c>
      <c r="I54" s="16">
        <f t="shared" ca="1" si="2"/>
        <v>34.557053600789217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>
      <c r="A55" s="18">
        <v>2025</v>
      </c>
      <c r="B55" s="17">
        <f>'Dados gerais'!Z8</f>
        <v>45809</v>
      </c>
      <c r="C55" s="18" t="str">
        <f>'Dados gerais'!AA8</f>
        <v>junho</v>
      </c>
      <c r="D55" s="23">
        <f>(15344.04+27113.57)*60%</f>
        <v>25474.565999999999</v>
      </c>
      <c r="E55" s="1">
        <f t="shared" ca="1" si="3"/>
        <v>100582</v>
      </c>
      <c r="F55" s="18">
        <f>'Dados gerais'!AC8</f>
        <v>0</v>
      </c>
      <c r="G55" s="19" t="e">
        <f t="shared" ca="1" si="1"/>
        <v>#DIV/0!</v>
      </c>
      <c r="H55" s="19">
        <v>3041</v>
      </c>
      <c r="I55" s="19">
        <f t="shared" ca="1" si="2"/>
        <v>33.075304176257809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>
      <c r="A56" s="18">
        <v>2025</v>
      </c>
      <c r="B56" s="17">
        <f>'Dados gerais'!Z9</f>
        <v>45839</v>
      </c>
      <c r="C56" s="18" t="str">
        <f>'Dados gerais'!AA9</f>
        <v>julho</v>
      </c>
      <c r="D56" s="23">
        <f>(28704.85+15323.45)*60%</f>
        <v>26416.98</v>
      </c>
      <c r="E56" s="1">
        <f t="shared" ca="1" si="3"/>
        <v>103555</v>
      </c>
      <c r="F56" s="18">
        <f>'Dados gerais'!AC9</f>
        <v>0</v>
      </c>
      <c r="G56" s="19" t="e">
        <f t="shared" ca="1" si="1"/>
        <v>#DIV/0!</v>
      </c>
      <c r="H56" s="19">
        <v>3041</v>
      </c>
      <c r="I56" s="19">
        <f t="shared" ca="1" si="2"/>
        <v>34.052943110818809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>
      <c r="A57" s="13">
        <v>2025</v>
      </c>
      <c r="B57" s="14">
        <f>'Dados gerais'!Z10</f>
        <v>45870</v>
      </c>
      <c r="C57" s="13" t="str">
        <f>'Dados gerais'!AA10</f>
        <v>agosto</v>
      </c>
      <c r="D57" s="13"/>
      <c r="E57" s="13"/>
      <c r="F57" s="13">
        <f>'Dados gerais'!AC10</f>
        <v>0</v>
      </c>
      <c r="G57" s="13"/>
      <c r="H57" s="16">
        <f>'Dados gerais'!AB10</f>
        <v>0</v>
      </c>
      <c r="I57" s="1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>
      <c r="A58" s="13">
        <v>2025</v>
      </c>
      <c r="B58" s="14">
        <f>'Dados gerais'!Z11</f>
        <v>45901</v>
      </c>
      <c r="C58" s="13" t="str">
        <f>'Dados gerais'!AA11</f>
        <v>setembro</v>
      </c>
      <c r="D58" s="13"/>
      <c r="E58" s="13"/>
      <c r="F58" s="13">
        <f>'Dados gerais'!AC11</f>
        <v>0</v>
      </c>
      <c r="G58" s="13"/>
      <c r="H58" s="16">
        <f>'Dados gerais'!AB11</f>
        <v>0</v>
      </c>
      <c r="I58" s="1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>
      <c r="A59" s="13">
        <v>2025</v>
      </c>
      <c r="B59" s="14">
        <f>'Dados gerais'!Z12</f>
        <v>45931</v>
      </c>
      <c r="C59" s="13" t="str">
        <f>'Dados gerais'!AA12</f>
        <v>outubro</v>
      </c>
      <c r="D59" s="13"/>
      <c r="E59" s="13"/>
      <c r="F59" s="13">
        <f>'Dados gerais'!AC12</f>
        <v>0</v>
      </c>
      <c r="G59" s="13"/>
      <c r="H59" s="16">
        <f>'Dados gerais'!AB12</f>
        <v>0</v>
      </c>
      <c r="I59" s="1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>
      <c r="A60" s="13">
        <v>2025</v>
      </c>
      <c r="B60" s="14">
        <f>'Dados gerais'!Z13</f>
        <v>45962</v>
      </c>
      <c r="C60" s="13" t="str">
        <f>'Dados gerais'!AA13</f>
        <v>novembro</v>
      </c>
      <c r="D60" s="13"/>
      <c r="E60" s="13"/>
      <c r="F60" s="13">
        <f>'Dados gerais'!AC13</f>
        <v>0</v>
      </c>
      <c r="G60" s="13"/>
      <c r="H60" s="16">
        <f>'Dados gerais'!AB13</f>
        <v>0</v>
      </c>
      <c r="I60" s="1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>
      <c r="A61" s="1">
        <v>2025</v>
      </c>
      <c r="B61" s="24">
        <f>'Dados gerais'!Z14</f>
        <v>45992</v>
      </c>
      <c r="C61" s="25" t="str">
        <f>'Dados gerais'!AA14</f>
        <v>dezembro</v>
      </c>
      <c r="D61" s="13"/>
      <c r="E61" s="13"/>
      <c r="F61" s="13">
        <f>'Dados gerais'!AC14</f>
        <v>0</v>
      </c>
      <c r="G61" s="13"/>
      <c r="H61" s="16">
        <f>'Dados gerais'!AB14</f>
        <v>0</v>
      </c>
      <c r="I61" s="1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</sheetData>
  <autoFilter ref="A1:I61"/>
  <pageMargins left="0.511811024" right="0.511811024" top="0.78740157499999996" bottom="0.78740157499999996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"/>
  <sheetViews>
    <sheetView showGridLines="0" workbookViewId="0"/>
  </sheetViews>
  <sheetFormatPr defaultColWidth="14.42578125" defaultRowHeight="15" customHeight="1"/>
  <cols>
    <col min="1" max="1" width="9.140625" customWidth="1"/>
    <col min="2" max="2" width="18" customWidth="1"/>
    <col min="3" max="3" width="17.140625" customWidth="1"/>
    <col min="4" max="4" width="29.7109375" customWidth="1"/>
    <col min="5" max="6" width="17.5703125" customWidth="1"/>
    <col min="7" max="7" width="32" customWidth="1"/>
    <col min="8" max="8" width="29.85546875" customWidth="1"/>
    <col min="9" max="15" width="9.140625" customWidth="1"/>
    <col min="16" max="24" width="8.7109375" customWidth="1"/>
  </cols>
  <sheetData>
    <row r="1" spans="1:2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5" t="s">
        <v>0</v>
      </c>
      <c r="B2" s="5" t="s">
        <v>17</v>
      </c>
      <c r="C2" s="5" t="s">
        <v>2</v>
      </c>
      <c r="D2" s="5" t="s">
        <v>29</v>
      </c>
      <c r="E2" s="5" t="s">
        <v>30</v>
      </c>
      <c r="F2" s="5" t="s">
        <v>19</v>
      </c>
      <c r="G2" s="5" t="s">
        <v>31</v>
      </c>
      <c r="H2" s="5" t="s">
        <v>32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1:24">
      <c r="A3" s="13">
        <v>2024</v>
      </c>
      <c r="B3" s="14">
        <f>'Dados gerais'!T3</f>
        <v>45292</v>
      </c>
      <c r="C3" s="13" t="s">
        <v>5</v>
      </c>
      <c r="D3" s="15">
        <v>7999</v>
      </c>
      <c r="E3" s="27">
        <f t="shared" ref="E3:E20" si="0">(D3*0.00468)/2</f>
        <v>18.717660000000002</v>
      </c>
      <c r="F3" s="13">
        <f>'Dados gerais'!W3</f>
        <v>250</v>
      </c>
      <c r="G3" s="16">
        <f t="shared" ref="G3:G57" si="1">D3/F3</f>
        <v>31.995999999999999</v>
      </c>
      <c r="H3" s="27">
        <f t="shared" ref="H3:H57" si="2">E3/F3</f>
        <v>7.4870640000000002E-2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</row>
    <row r="4" spans="1:24">
      <c r="A4" s="13">
        <v>2024</v>
      </c>
      <c r="B4" s="14">
        <f>'Dados gerais'!T4</f>
        <v>45323</v>
      </c>
      <c r="C4" s="13" t="s">
        <v>6</v>
      </c>
      <c r="D4" s="15">
        <v>4203</v>
      </c>
      <c r="E4" s="27">
        <f t="shared" si="0"/>
        <v>9.8350200000000001</v>
      </c>
      <c r="F4" s="13">
        <f>'Dados gerais'!W4</f>
        <v>249</v>
      </c>
      <c r="G4" s="16">
        <f t="shared" si="1"/>
        <v>16.879518072289155</v>
      </c>
      <c r="H4" s="27">
        <f t="shared" si="2"/>
        <v>3.9498072289156624E-2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</row>
    <row r="5" spans="1:24">
      <c r="A5" s="13">
        <v>2024</v>
      </c>
      <c r="B5" s="14">
        <f>'Dados gerais'!T5</f>
        <v>45352</v>
      </c>
      <c r="C5" s="13" t="s">
        <v>7</v>
      </c>
      <c r="D5" s="15">
        <v>5695</v>
      </c>
      <c r="E5" s="27">
        <f t="shared" si="0"/>
        <v>13.3263</v>
      </c>
      <c r="F5" s="13">
        <f>'Dados gerais'!W5</f>
        <v>250</v>
      </c>
      <c r="G5" s="16">
        <f t="shared" si="1"/>
        <v>22.78</v>
      </c>
      <c r="H5" s="27">
        <f t="shared" si="2"/>
        <v>5.3305199999999997E-2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</row>
    <row r="6" spans="1:24">
      <c r="A6" s="13">
        <v>2024</v>
      </c>
      <c r="B6" s="14">
        <f>'Dados gerais'!T6</f>
        <v>45383</v>
      </c>
      <c r="C6" s="13" t="s">
        <v>8</v>
      </c>
      <c r="D6" s="15">
        <v>5432</v>
      </c>
      <c r="E6" s="27">
        <f t="shared" si="0"/>
        <v>12.71088</v>
      </c>
      <c r="F6" s="13">
        <f>'Dados gerais'!W6</f>
        <v>259</v>
      </c>
      <c r="G6" s="16">
        <f t="shared" si="1"/>
        <v>20.972972972972972</v>
      </c>
      <c r="H6" s="27">
        <f t="shared" si="2"/>
        <v>4.9076756756756754E-2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</row>
    <row r="7" spans="1:24">
      <c r="A7" s="13">
        <v>2024</v>
      </c>
      <c r="B7" s="14">
        <f>'Dados gerais'!T7</f>
        <v>45413</v>
      </c>
      <c r="C7" s="13" t="s">
        <v>9</v>
      </c>
      <c r="D7" s="15">
        <v>5080</v>
      </c>
      <c r="E7" s="27">
        <f t="shared" si="0"/>
        <v>11.8872</v>
      </c>
      <c r="F7" s="13">
        <f>'Dados gerais'!W7</f>
        <v>257</v>
      </c>
      <c r="G7" s="16">
        <f t="shared" si="1"/>
        <v>19.766536964980546</v>
      </c>
      <c r="H7" s="27">
        <f t="shared" si="2"/>
        <v>4.6253696498054477E-2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 s="13">
        <v>2024</v>
      </c>
      <c r="B8" s="14">
        <f>'Dados gerais'!T8</f>
        <v>45444</v>
      </c>
      <c r="C8" s="13" t="s">
        <v>10</v>
      </c>
      <c r="D8" s="15">
        <v>8157</v>
      </c>
      <c r="E8" s="27">
        <f t="shared" si="0"/>
        <v>19.08738</v>
      </c>
      <c r="F8" s="13">
        <f>'Dados gerais'!W8</f>
        <v>255</v>
      </c>
      <c r="G8" s="16">
        <f t="shared" si="1"/>
        <v>31.988235294117647</v>
      </c>
      <c r="H8" s="27">
        <f t="shared" si="2"/>
        <v>7.4852470588235298E-2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 s="13">
        <v>2024</v>
      </c>
      <c r="B9" s="14">
        <f>'Dados gerais'!T9</f>
        <v>45474</v>
      </c>
      <c r="C9" s="13" t="s">
        <v>11</v>
      </c>
      <c r="D9" s="15">
        <f>4667+1208</f>
        <v>5875</v>
      </c>
      <c r="E9" s="27">
        <f t="shared" si="0"/>
        <v>13.7475</v>
      </c>
      <c r="F9" s="13">
        <f>'Dados gerais'!W9</f>
        <v>262</v>
      </c>
      <c r="G9" s="16">
        <f t="shared" si="1"/>
        <v>22.423664122137403</v>
      </c>
      <c r="H9" s="27">
        <f t="shared" si="2"/>
        <v>5.247137404580153E-2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13">
        <v>2024</v>
      </c>
      <c r="B10" s="14">
        <f>'Dados gerais'!T10</f>
        <v>45505</v>
      </c>
      <c r="C10" s="13" t="s">
        <v>12</v>
      </c>
      <c r="D10" s="15">
        <f>6674+11.21</f>
        <v>6685.21</v>
      </c>
      <c r="E10" s="27">
        <f t="shared" si="0"/>
        <v>15.643391400000001</v>
      </c>
      <c r="F10" s="13">
        <f>'Dados gerais'!W10</f>
        <v>258</v>
      </c>
      <c r="G10" s="16">
        <f t="shared" si="1"/>
        <v>25.911666666666665</v>
      </c>
      <c r="H10" s="27">
        <f t="shared" si="2"/>
        <v>6.0633300000000001E-2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13">
        <v>2024</v>
      </c>
      <c r="B11" s="14">
        <f>'Dados gerais'!T11</f>
        <v>45536</v>
      </c>
      <c r="C11" s="13" t="s">
        <v>13</v>
      </c>
      <c r="D11" s="15">
        <f>5361+798</f>
        <v>6159</v>
      </c>
      <c r="E11" s="27">
        <f t="shared" si="0"/>
        <v>14.41206</v>
      </c>
      <c r="F11" s="13">
        <f>'Dados gerais'!W11</f>
        <v>258</v>
      </c>
      <c r="G11" s="16">
        <f t="shared" si="1"/>
        <v>23.872093023255815</v>
      </c>
      <c r="H11" s="27">
        <f t="shared" si="2"/>
        <v>5.5860697674418605E-2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 spans="1:24">
      <c r="A12" s="13">
        <v>2024</v>
      </c>
      <c r="B12" s="14">
        <f>'Dados gerais'!T12</f>
        <v>45566</v>
      </c>
      <c r="C12" s="13" t="s">
        <v>14</v>
      </c>
      <c r="D12" s="15">
        <f>5118+1161</f>
        <v>6279</v>
      </c>
      <c r="E12" s="27">
        <f t="shared" si="0"/>
        <v>14.69286</v>
      </c>
      <c r="F12" s="13">
        <f>'Dados gerais'!W12</f>
        <v>264</v>
      </c>
      <c r="G12" s="16">
        <f t="shared" si="1"/>
        <v>23.78409090909091</v>
      </c>
      <c r="H12" s="27">
        <f t="shared" si="2"/>
        <v>5.5654772727272726E-2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 spans="1:24">
      <c r="A13" s="13">
        <v>2023</v>
      </c>
      <c r="B13" s="14">
        <f>'Dados gerais'!N3</f>
        <v>44927</v>
      </c>
      <c r="C13" s="13" t="str">
        <f t="shared" ref="C13:C19" si="3">TEXT(B13,"mmmm")</f>
        <v>janeiro</v>
      </c>
      <c r="D13" s="15">
        <v>7109</v>
      </c>
      <c r="E13" s="27">
        <f t="shared" si="0"/>
        <v>16.635059999999999</v>
      </c>
      <c r="F13" s="16">
        <f>'Dados gerais'!Q3</f>
        <v>236</v>
      </c>
      <c r="G13" s="16">
        <f t="shared" si="1"/>
        <v>30.122881355932204</v>
      </c>
      <c r="H13" s="27">
        <f t="shared" si="2"/>
        <v>7.0487542372881351E-2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13">
        <v>2023</v>
      </c>
      <c r="B14" s="14">
        <f>'Dados gerais'!N4</f>
        <v>44958</v>
      </c>
      <c r="C14" s="13" t="str">
        <f t="shared" si="3"/>
        <v>fevereiro</v>
      </c>
      <c r="D14" s="15">
        <v>4884</v>
      </c>
      <c r="E14" s="27">
        <f t="shared" si="0"/>
        <v>11.428560000000001</v>
      </c>
      <c r="F14" s="16">
        <f>'Dados gerais'!Q4</f>
        <v>230</v>
      </c>
      <c r="G14" s="16">
        <f t="shared" si="1"/>
        <v>21.234782608695653</v>
      </c>
      <c r="H14" s="27">
        <f t="shared" si="2"/>
        <v>4.9689391304347831E-2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3">
        <v>2023</v>
      </c>
      <c r="B15" s="14">
        <f>'Dados gerais'!N5</f>
        <v>44986</v>
      </c>
      <c r="C15" s="13" t="str">
        <f t="shared" si="3"/>
        <v>março</v>
      </c>
      <c r="D15" s="15">
        <v>8181</v>
      </c>
      <c r="E15" s="27">
        <f t="shared" si="0"/>
        <v>19.143540000000002</v>
      </c>
      <c r="F15" s="16">
        <f>'Dados gerais'!Q5</f>
        <v>234</v>
      </c>
      <c r="G15" s="16">
        <f t="shared" si="1"/>
        <v>34.96153846153846</v>
      </c>
      <c r="H15" s="27">
        <f t="shared" si="2"/>
        <v>8.1810000000000008E-2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13">
        <v>2023</v>
      </c>
      <c r="B16" s="14">
        <f>'Dados gerais'!N6</f>
        <v>45017</v>
      </c>
      <c r="C16" s="13" t="str">
        <f t="shared" si="3"/>
        <v>abril</v>
      </c>
      <c r="D16" s="15">
        <v>5295</v>
      </c>
      <c r="E16" s="27">
        <f t="shared" si="0"/>
        <v>12.3903</v>
      </c>
      <c r="F16" s="16">
        <f>'Dados gerais'!Q6</f>
        <v>236</v>
      </c>
      <c r="G16" s="16">
        <f t="shared" si="1"/>
        <v>22.4364406779661</v>
      </c>
      <c r="H16" s="27">
        <f t="shared" si="2"/>
        <v>5.2501271186440678E-2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13">
        <v>2023</v>
      </c>
      <c r="B17" s="14">
        <f>'Dados gerais'!N7</f>
        <v>45047</v>
      </c>
      <c r="C17" s="13" t="str">
        <f t="shared" si="3"/>
        <v>maio</v>
      </c>
      <c r="D17" s="15">
        <v>6262</v>
      </c>
      <c r="E17" s="27">
        <f t="shared" si="0"/>
        <v>14.653080000000001</v>
      </c>
      <c r="F17" s="16">
        <f>'Dados gerais'!Q7</f>
        <v>237</v>
      </c>
      <c r="G17" s="16">
        <f t="shared" si="1"/>
        <v>26.421940928270043</v>
      </c>
      <c r="H17" s="27">
        <f t="shared" si="2"/>
        <v>6.1827341772151906E-2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3">
        <v>2023</v>
      </c>
      <c r="B18" s="14">
        <f>'Dados gerais'!N8</f>
        <v>45078</v>
      </c>
      <c r="C18" s="13" t="str">
        <f t="shared" si="3"/>
        <v>junho</v>
      </c>
      <c r="D18" s="15">
        <v>6243</v>
      </c>
      <c r="E18" s="27">
        <f t="shared" si="0"/>
        <v>14.60862</v>
      </c>
      <c r="F18" s="16">
        <f>'Dados gerais'!Q8</f>
        <v>239</v>
      </c>
      <c r="G18" s="16">
        <f t="shared" si="1"/>
        <v>26.12133891213389</v>
      </c>
      <c r="H18" s="27">
        <f t="shared" si="2"/>
        <v>6.1123933054393308E-2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3">
        <v>2023</v>
      </c>
      <c r="B19" s="14">
        <f>'Dados gerais'!N9</f>
        <v>45108</v>
      </c>
      <c r="C19" s="13" t="str">
        <f t="shared" si="3"/>
        <v>julho</v>
      </c>
      <c r="D19" s="15">
        <v>6174</v>
      </c>
      <c r="E19" s="27">
        <f t="shared" si="0"/>
        <v>14.44716</v>
      </c>
      <c r="F19" s="16">
        <f>'Dados gerais'!Q9</f>
        <v>248</v>
      </c>
      <c r="G19" s="16">
        <f t="shared" si="1"/>
        <v>24.89516129032258</v>
      </c>
      <c r="H19" s="27">
        <f t="shared" si="2"/>
        <v>5.825467741935484E-2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3">
        <v>2023</v>
      </c>
      <c r="B20" s="14">
        <f>'Dados gerais'!N10</f>
        <v>45139</v>
      </c>
      <c r="C20" s="13" t="s">
        <v>12</v>
      </c>
      <c r="D20" s="15">
        <v>7481</v>
      </c>
      <c r="E20" s="27">
        <f t="shared" si="0"/>
        <v>17.50554</v>
      </c>
      <c r="F20" s="16">
        <f>'Dados gerais'!Q10</f>
        <v>248</v>
      </c>
      <c r="G20" s="16">
        <f t="shared" si="1"/>
        <v>30.16532258064516</v>
      </c>
      <c r="H20" s="27">
        <f t="shared" si="2"/>
        <v>7.0586854838709676E-2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>
      <c r="A21" s="13">
        <v>2023</v>
      </c>
      <c r="B21" s="14">
        <f>'Dados gerais'!N11</f>
        <v>45170</v>
      </c>
      <c r="C21" s="13" t="s">
        <v>13</v>
      </c>
      <c r="D21" s="15">
        <v>6288</v>
      </c>
      <c r="E21" s="27">
        <v>14.71392</v>
      </c>
      <c r="F21" s="16">
        <f>'Dados gerais'!Q11</f>
        <v>248</v>
      </c>
      <c r="G21" s="16">
        <f t="shared" si="1"/>
        <v>25.35483870967742</v>
      </c>
      <c r="H21" s="27">
        <f t="shared" si="2"/>
        <v>5.9330322580645162E-2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>
      <c r="A22" s="13">
        <v>2023</v>
      </c>
      <c r="B22" s="14">
        <f>'Dados gerais'!N12</f>
        <v>45200</v>
      </c>
      <c r="C22" s="13" t="s">
        <v>14</v>
      </c>
      <c r="D22" s="15">
        <v>7842</v>
      </c>
      <c r="E22" s="27">
        <f t="shared" ref="E22:E57" si="4">(D22*0.00468)/2</f>
        <v>18.350280000000001</v>
      </c>
      <c r="F22" s="16">
        <f>'Dados gerais'!Q12</f>
        <v>247</v>
      </c>
      <c r="G22" s="16">
        <f t="shared" si="1"/>
        <v>31.748987854251013</v>
      </c>
      <c r="H22" s="27">
        <f t="shared" si="2"/>
        <v>7.4292631578947374E-2</v>
      </c>
      <c r="I22" s="1"/>
      <c r="J22" s="1"/>
      <c r="K22" s="1"/>
      <c r="L22" s="1"/>
      <c r="M22" s="1"/>
      <c r="N22" s="1"/>
      <c r="O22" s="1" t="s">
        <v>33</v>
      </c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>
      <c r="A23" s="13">
        <v>2023</v>
      </c>
      <c r="B23" s="14">
        <f>'Dados gerais'!N13</f>
        <v>45231</v>
      </c>
      <c r="C23" s="13" t="s">
        <v>15</v>
      </c>
      <c r="D23" s="15">
        <v>6462</v>
      </c>
      <c r="E23" s="27">
        <f t="shared" si="4"/>
        <v>15.121080000000001</v>
      </c>
      <c r="F23" s="16">
        <f>'Dados gerais'!Q13</f>
        <v>246</v>
      </c>
      <c r="G23" s="16">
        <f t="shared" si="1"/>
        <v>26.26829268292683</v>
      </c>
      <c r="H23" s="27">
        <f t="shared" si="2"/>
        <v>6.1467804878048787E-2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>
      <c r="A24" s="13">
        <v>2022</v>
      </c>
      <c r="B24" s="14">
        <f>'Dados gerais'!H3</f>
        <v>44562</v>
      </c>
      <c r="C24" s="13" t="str">
        <f t="shared" ref="C24:C48" si="5">TEXT(B24,"mmmm")</f>
        <v>janeiro</v>
      </c>
      <c r="D24" s="15">
        <v>5245</v>
      </c>
      <c r="E24" s="27">
        <f t="shared" si="4"/>
        <v>12.273300000000001</v>
      </c>
      <c r="F24" s="16">
        <f>'Dados gerais'!K3</f>
        <v>222</v>
      </c>
      <c r="G24" s="16">
        <f t="shared" si="1"/>
        <v>23.626126126126128</v>
      </c>
      <c r="H24" s="27">
        <f t="shared" si="2"/>
        <v>5.5285135135135138E-2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>
      <c r="A25" s="13">
        <v>2022</v>
      </c>
      <c r="B25" s="14">
        <f>'Dados gerais'!H4</f>
        <v>44593</v>
      </c>
      <c r="C25" s="13" t="str">
        <f t="shared" si="5"/>
        <v>fevereiro</v>
      </c>
      <c r="D25" s="36">
        <f>14204+2947</f>
        <v>17151</v>
      </c>
      <c r="E25" s="27">
        <f t="shared" si="4"/>
        <v>40.133340000000004</v>
      </c>
      <c r="F25" s="16">
        <f>'Dados gerais'!K4</f>
        <v>220</v>
      </c>
      <c r="G25" s="16">
        <f t="shared" si="1"/>
        <v>77.959090909090904</v>
      </c>
      <c r="H25" s="27">
        <f t="shared" si="2"/>
        <v>0.18242427272727274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>
      <c r="A26" s="13">
        <v>2022</v>
      </c>
      <c r="B26" s="14">
        <f>'Dados gerais'!H5</f>
        <v>44621</v>
      </c>
      <c r="C26" s="13" t="str">
        <f t="shared" si="5"/>
        <v>março</v>
      </c>
      <c r="D26" s="36">
        <f>16034+3183</f>
        <v>19217</v>
      </c>
      <c r="E26" s="27">
        <f t="shared" si="4"/>
        <v>44.967780000000005</v>
      </c>
      <c r="F26" s="16">
        <f>'Dados gerais'!K5</f>
        <v>221</v>
      </c>
      <c r="G26" s="16">
        <f t="shared" si="1"/>
        <v>86.954751131221713</v>
      </c>
      <c r="H26" s="27">
        <f t="shared" si="2"/>
        <v>0.20347411764705883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>
      <c r="A27" s="13">
        <v>2022</v>
      </c>
      <c r="B27" s="14">
        <f>'Dados gerais'!H6</f>
        <v>44652</v>
      </c>
      <c r="C27" s="13" t="str">
        <f t="shared" si="5"/>
        <v>abril</v>
      </c>
      <c r="D27" s="36">
        <f>9924+3859</f>
        <v>13783</v>
      </c>
      <c r="E27" s="27">
        <f t="shared" si="4"/>
        <v>32.252220000000001</v>
      </c>
      <c r="F27" s="16">
        <f>'Dados gerais'!K6</f>
        <v>232</v>
      </c>
      <c r="G27" s="16">
        <f t="shared" si="1"/>
        <v>59.40948275862069</v>
      </c>
      <c r="H27" s="27">
        <f t="shared" si="2"/>
        <v>0.13901818965517243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>
      <c r="A28" s="13">
        <v>2022</v>
      </c>
      <c r="B28" s="14">
        <f>'Dados gerais'!H7</f>
        <v>44682</v>
      </c>
      <c r="C28" s="13" t="str">
        <f t="shared" si="5"/>
        <v>maio</v>
      </c>
      <c r="D28" s="36">
        <f>10174+4582</f>
        <v>14756</v>
      </c>
      <c r="E28" s="27">
        <f t="shared" si="4"/>
        <v>34.529040000000002</v>
      </c>
      <c r="F28" s="16">
        <f>'Dados gerais'!K7</f>
        <v>227</v>
      </c>
      <c r="G28" s="16">
        <f t="shared" si="1"/>
        <v>65.004405286343612</v>
      </c>
      <c r="H28" s="27">
        <f t="shared" si="2"/>
        <v>0.15211030837004405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>
      <c r="A29" s="13">
        <v>2022</v>
      </c>
      <c r="B29" s="14">
        <f>'Dados gerais'!H8</f>
        <v>44713</v>
      </c>
      <c r="C29" s="13" t="str">
        <f t="shared" si="5"/>
        <v>junho</v>
      </c>
      <c r="D29" s="36">
        <f>5960+1790</f>
        <v>7750</v>
      </c>
      <c r="E29" s="27">
        <f t="shared" si="4"/>
        <v>18.135000000000002</v>
      </c>
      <c r="F29" s="16">
        <f>'Dados gerais'!K8</f>
        <v>229</v>
      </c>
      <c r="G29" s="16">
        <f t="shared" si="1"/>
        <v>33.842794759825324</v>
      </c>
      <c r="H29" s="27">
        <f t="shared" si="2"/>
        <v>7.9192139737991274E-2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>
      <c r="A30" s="13">
        <v>2022</v>
      </c>
      <c r="B30" s="14">
        <f>'Dados gerais'!H9</f>
        <v>44743</v>
      </c>
      <c r="C30" s="13" t="str">
        <f t="shared" si="5"/>
        <v>julho</v>
      </c>
      <c r="D30" s="36">
        <f>2923+591</f>
        <v>3514</v>
      </c>
      <c r="E30" s="27">
        <f t="shared" si="4"/>
        <v>8.222760000000001</v>
      </c>
      <c r="F30" s="16">
        <f>'Dados gerais'!K9</f>
        <v>234</v>
      </c>
      <c r="G30" s="16">
        <f t="shared" si="1"/>
        <v>15.017094017094017</v>
      </c>
      <c r="H30" s="27">
        <f t="shared" si="2"/>
        <v>3.5140000000000005E-2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>
      <c r="A31" s="13">
        <v>2022</v>
      </c>
      <c r="B31" s="14">
        <f>'Dados gerais'!H10</f>
        <v>44774</v>
      </c>
      <c r="C31" s="13" t="str">
        <f t="shared" si="5"/>
        <v>agosto</v>
      </c>
      <c r="D31" s="36">
        <f>3061+363</f>
        <v>3424</v>
      </c>
      <c r="E31" s="27">
        <f t="shared" si="4"/>
        <v>8.0121599999999997</v>
      </c>
      <c r="F31" s="16">
        <f>'Dados gerais'!K10</f>
        <v>229</v>
      </c>
      <c r="G31" s="16">
        <f t="shared" si="1"/>
        <v>14.951965065502183</v>
      </c>
      <c r="H31" s="27">
        <f t="shared" si="2"/>
        <v>3.4987598253275111E-2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>
      <c r="A32" s="13">
        <v>2022</v>
      </c>
      <c r="B32" s="14">
        <f>'Dados gerais'!H11</f>
        <v>44805</v>
      </c>
      <c r="C32" s="13" t="str">
        <f t="shared" si="5"/>
        <v>setembro</v>
      </c>
      <c r="D32" s="36">
        <f>5177+2544</f>
        <v>7721</v>
      </c>
      <c r="E32" s="27">
        <f t="shared" si="4"/>
        <v>18.067140000000002</v>
      </c>
      <c r="F32" s="16">
        <f>'Dados gerais'!K11</f>
        <v>231</v>
      </c>
      <c r="G32" s="16">
        <f t="shared" si="1"/>
        <v>33.424242424242422</v>
      </c>
      <c r="H32" s="27">
        <f t="shared" si="2"/>
        <v>7.8212727272727281E-2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>
      <c r="A33" s="13">
        <v>2022</v>
      </c>
      <c r="B33" s="14">
        <f>'Dados gerais'!H12</f>
        <v>44835</v>
      </c>
      <c r="C33" s="13" t="str">
        <f t="shared" si="5"/>
        <v>outubro</v>
      </c>
      <c r="D33" s="36">
        <f>2863+1239</f>
        <v>4102</v>
      </c>
      <c r="E33" s="27">
        <f t="shared" si="4"/>
        <v>9.5986799999999999</v>
      </c>
      <c r="F33" s="16">
        <f>'Dados gerais'!K12</f>
        <v>231</v>
      </c>
      <c r="G33" s="16">
        <f t="shared" si="1"/>
        <v>17.757575757575758</v>
      </c>
      <c r="H33" s="27">
        <f t="shared" si="2"/>
        <v>4.1552727272727269E-2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>
      <c r="A34" s="13">
        <v>2022</v>
      </c>
      <c r="B34" s="14">
        <f>'Dados gerais'!H13</f>
        <v>44866</v>
      </c>
      <c r="C34" s="13" t="str">
        <f t="shared" si="5"/>
        <v>novembro</v>
      </c>
      <c r="D34" s="36">
        <f>4324+879</f>
        <v>5203</v>
      </c>
      <c r="E34" s="27">
        <f t="shared" si="4"/>
        <v>12.17502</v>
      </c>
      <c r="F34" s="16">
        <f>'Dados gerais'!K13</f>
        <v>234</v>
      </c>
      <c r="G34" s="16">
        <f t="shared" si="1"/>
        <v>22.235042735042736</v>
      </c>
      <c r="H34" s="27">
        <f t="shared" si="2"/>
        <v>5.203E-2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>
      <c r="A35" s="13">
        <v>2022</v>
      </c>
      <c r="B35" s="14">
        <f>'Dados gerais'!H14</f>
        <v>44896</v>
      </c>
      <c r="C35" s="13" t="str">
        <f t="shared" si="5"/>
        <v>dezembro</v>
      </c>
      <c r="D35" s="36">
        <f>4243+769</f>
        <v>5012</v>
      </c>
      <c r="E35" s="27">
        <f t="shared" si="4"/>
        <v>11.72808</v>
      </c>
      <c r="F35" s="16">
        <f>'Dados gerais'!K14</f>
        <v>237</v>
      </c>
      <c r="G35" s="16">
        <f t="shared" si="1"/>
        <v>21.147679324894515</v>
      </c>
      <c r="H35" s="27">
        <f t="shared" si="2"/>
        <v>4.9485569620253168E-2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>
      <c r="A36" s="13">
        <v>2023</v>
      </c>
      <c r="B36" s="14">
        <f>'Dados gerais'!N14</f>
        <v>45261</v>
      </c>
      <c r="C36" s="13" t="str">
        <f t="shared" si="5"/>
        <v>dezembro</v>
      </c>
      <c r="D36" s="36">
        <f>3389+1339</f>
        <v>4728</v>
      </c>
      <c r="E36" s="27">
        <f t="shared" si="4"/>
        <v>11.06352</v>
      </c>
      <c r="F36" s="16">
        <f>'Dados gerais'!Q26</f>
        <v>0</v>
      </c>
      <c r="G36" s="16" t="e">
        <f t="shared" si="1"/>
        <v>#DIV/0!</v>
      </c>
      <c r="H36" s="27" t="e">
        <f t="shared" si="2"/>
        <v>#DIV/0!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>
      <c r="A37" s="13">
        <v>2021</v>
      </c>
      <c r="B37" s="14">
        <f>'Dados gerais'!B3</f>
        <v>44197</v>
      </c>
      <c r="C37" s="13" t="str">
        <f t="shared" si="5"/>
        <v>janeiro</v>
      </c>
      <c r="D37" s="36">
        <v>17155</v>
      </c>
      <c r="E37" s="27">
        <f t="shared" si="4"/>
        <v>40.142699999999998</v>
      </c>
      <c r="F37" s="16">
        <f>'Dados gerais'!E3</f>
        <v>200</v>
      </c>
      <c r="G37" s="16">
        <f t="shared" si="1"/>
        <v>85.775000000000006</v>
      </c>
      <c r="H37" s="27">
        <f t="shared" si="2"/>
        <v>0.20071349999999999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>
      <c r="A38" s="13">
        <v>2021</v>
      </c>
      <c r="B38" s="14">
        <f>'Dados gerais'!B4</f>
        <v>44228</v>
      </c>
      <c r="C38" s="13" t="str">
        <f t="shared" si="5"/>
        <v>fevereiro</v>
      </c>
      <c r="D38" s="36">
        <v>14178</v>
      </c>
      <c r="E38" s="27">
        <f t="shared" si="4"/>
        <v>33.176520000000004</v>
      </c>
      <c r="F38" s="16">
        <f>'Dados gerais'!E4</f>
        <v>200</v>
      </c>
      <c r="G38" s="16">
        <f t="shared" si="1"/>
        <v>70.89</v>
      </c>
      <c r="H38" s="27">
        <f t="shared" si="2"/>
        <v>0.16588260000000002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>
      <c r="A39" s="13">
        <v>2021</v>
      </c>
      <c r="B39" s="14">
        <f>'Dados gerais'!B5</f>
        <v>44256</v>
      </c>
      <c r="C39" s="13" t="str">
        <f t="shared" si="5"/>
        <v>março</v>
      </c>
      <c r="D39" s="36">
        <v>16533</v>
      </c>
      <c r="E39" s="27">
        <f t="shared" si="4"/>
        <v>38.687220000000003</v>
      </c>
      <c r="F39" s="16">
        <f>'Dados gerais'!E5</f>
        <v>201</v>
      </c>
      <c r="G39" s="16">
        <f t="shared" si="1"/>
        <v>82.253731343283576</v>
      </c>
      <c r="H39" s="27">
        <f t="shared" si="2"/>
        <v>0.1924737313432836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>
      <c r="A40" s="13">
        <v>2021</v>
      </c>
      <c r="B40" s="14">
        <f>'Dados gerais'!B6</f>
        <v>44287</v>
      </c>
      <c r="C40" s="13" t="str">
        <f t="shared" si="5"/>
        <v>abril</v>
      </c>
      <c r="D40" s="36">
        <v>13276</v>
      </c>
      <c r="E40" s="27">
        <f t="shared" si="4"/>
        <v>31.065840000000001</v>
      </c>
      <c r="F40" s="16">
        <f>'Dados gerais'!E6</f>
        <v>204</v>
      </c>
      <c r="G40" s="16">
        <f t="shared" si="1"/>
        <v>65.078431372549019</v>
      </c>
      <c r="H40" s="27">
        <f t="shared" si="2"/>
        <v>0.15228352941176471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>
      <c r="A41" s="13">
        <v>2021</v>
      </c>
      <c r="B41" s="14">
        <f>'Dados gerais'!B7</f>
        <v>44317</v>
      </c>
      <c r="C41" s="13" t="str">
        <f t="shared" si="5"/>
        <v>maio</v>
      </c>
      <c r="D41" s="36">
        <v>15824</v>
      </c>
      <c r="E41" s="27">
        <f t="shared" si="4"/>
        <v>37.02816</v>
      </c>
      <c r="F41" s="16">
        <f>'Dados gerais'!E7</f>
        <v>199</v>
      </c>
      <c r="G41" s="16">
        <f t="shared" si="1"/>
        <v>79.517587939698487</v>
      </c>
      <c r="H41" s="27">
        <f t="shared" si="2"/>
        <v>0.18607115577889446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>
      <c r="A42" s="13">
        <v>2021</v>
      </c>
      <c r="B42" s="14">
        <f>'Dados gerais'!B8</f>
        <v>44348</v>
      </c>
      <c r="C42" s="13" t="str">
        <f t="shared" si="5"/>
        <v>junho</v>
      </c>
      <c r="D42" s="36">
        <v>13921</v>
      </c>
      <c r="E42" s="27">
        <f t="shared" si="4"/>
        <v>32.575139999999998</v>
      </c>
      <c r="F42" s="16">
        <f>'Dados gerais'!E8</f>
        <v>208</v>
      </c>
      <c r="G42" s="16">
        <f t="shared" si="1"/>
        <v>66.927884615384613</v>
      </c>
      <c r="H42" s="27">
        <f t="shared" si="2"/>
        <v>0.15661124999999998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>
      <c r="A43" s="13">
        <v>2021</v>
      </c>
      <c r="B43" s="14">
        <f>'Dados gerais'!B9</f>
        <v>44378</v>
      </c>
      <c r="C43" s="13" t="str">
        <f t="shared" si="5"/>
        <v>julho</v>
      </c>
      <c r="D43" s="36">
        <v>12452</v>
      </c>
      <c r="E43" s="27">
        <f t="shared" si="4"/>
        <v>29.13768</v>
      </c>
      <c r="F43" s="16">
        <f>'Dados gerais'!E9</f>
        <v>209</v>
      </c>
      <c r="G43" s="16">
        <f t="shared" si="1"/>
        <v>59.578947368421055</v>
      </c>
      <c r="H43" s="27">
        <f t="shared" si="2"/>
        <v>0.13941473684210526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>
      <c r="A44" s="13">
        <v>2021</v>
      </c>
      <c r="B44" s="14">
        <f>'Dados gerais'!B10</f>
        <v>44409</v>
      </c>
      <c r="C44" s="13" t="str">
        <f t="shared" si="5"/>
        <v>agosto</v>
      </c>
      <c r="D44" s="36">
        <v>16776</v>
      </c>
      <c r="E44" s="27">
        <f t="shared" si="4"/>
        <v>39.255839999999999</v>
      </c>
      <c r="F44" s="16">
        <f>'Dados gerais'!E10</f>
        <v>203</v>
      </c>
      <c r="G44" s="16">
        <f t="shared" si="1"/>
        <v>82.64039408866995</v>
      </c>
      <c r="H44" s="27">
        <f t="shared" si="2"/>
        <v>0.19337852216748769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>
      <c r="A45" s="13">
        <v>2021</v>
      </c>
      <c r="B45" s="14">
        <f>'Dados gerais'!B11</f>
        <v>44440</v>
      </c>
      <c r="C45" s="13" t="str">
        <f t="shared" si="5"/>
        <v>setembro</v>
      </c>
      <c r="D45" s="36">
        <v>14631</v>
      </c>
      <c r="E45" s="27">
        <f t="shared" si="4"/>
        <v>34.236539999999998</v>
      </c>
      <c r="F45" s="16">
        <f>'Dados gerais'!E11</f>
        <v>211</v>
      </c>
      <c r="G45" s="16">
        <f t="shared" si="1"/>
        <v>69.341232227488149</v>
      </c>
      <c r="H45" s="27">
        <f t="shared" si="2"/>
        <v>0.16225848341232227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>
      <c r="A46" s="13">
        <v>2021</v>
      </c>
      <c r="B46" s="14">
        <f>'Dados gerais'!B12</f>
        <v>44470</v>
      </c>
      <c r="C46" s="13" t="str">
        <f t="shared" si="5"/>
        <v>outubro</v>
      </c>
      <c r="D46" s="36">
        <f>11141+4537</f>
        <v>15678</v>
      </c>
      <c r="E46" s="27">
        <f t="shared" si="4"/>
        <v>36.686520000000002</v>
      </c>
      <c r="F46" s="16">
        <f>'Dados gerais'!E12</f>
        <v>219</v>
      </c>
      <c r="G46" s="16">
        <f t="shared" si="1"/>
        <v>71.589041095890408</v>
      </c>
      <c r="H46" s="27">
        <f t="shared" si="2"/>
        <v>0.16751835616438357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>
      <c r="A47" s="13">
        <v>2021</v>
      </c>
      <c r="B47" s="14">
        <f>'Dados gerais'!B13</f>
        <v>44501</v>
      </c>
      <c r="C47" s="13" t="str">
        <f t="shared" si="5"/>
        <v>novembro</v>
      </c>
      <c r="D47" s="36">
        <f>9775+3977</f>
        <v>13752</v>
      </c>
      <c r="E47" s="27">
        <f t="shared" si="4"/>
        <v>32.179679999999998</v>
      </c>
      <c r="F47" s="16">
        <f>'Dados gerais'!E13</f>
        <v>219</v>
      </c>
      <c r="G47" s="16">
        <f t="shared" si="1"/>
        <v>62.794520547945204</v>
      </c>
      <c r="H47" s="27">
        <f t="shared" si="2"/>
        <v>0.14693917808219176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>
      <c r="A48" s="13">
        <v>2021</v>
      </c>
      <c r="B48" s="14">
        <f>'Dados gerais'!B14</f>
        <v>44531</v>
      </c>
      <c r="C48" s="13" t="str">
        <f t="shared" si="5"/>
        <v>dezembro</v>
      </c>
      <c r="D48" s="36">
        <f>7204+1484</f>
        <v>8688</v>
      </c>
      <c r="E48" s="27">
        <f t="shared" si="4"/>
        <v>20.329920000000001</v>
      </c>
      <c r="F48" s="16">
        <f>'Dados gerais'!E14</f>
        <v>220</v>
      </c>
      <c r="G48" s="16">
        <f t="shared" si="1"/>
        <v>39.490909090909092</v>
      </c>
      <c r="H48" s="27">
        <f t="shared" si="2"/>
        <v>9.2408727272727281E-2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>
      <c r="A49" s="13">
        <v>2024</v>
      </c>
      <c r="B49" s="14">
        <f>'Dados gerais'!T13</f>
        <v>45597</v>
      </c>
      <c r="C49" s="13" t="s">
        <v>15</v>
      </c>
      <c r="D49" s="15">
        <f>3381+1286</f>
        <v>4667</v>
      </c>
      <c r="E49" s="27">
        <f t="shared" si="4"/>
        <v>10.920780000000001</v>
      </c>
      <c r="F49" s="13">
        <f>'Dados gerais'!W13</f>
        <v>266</v>
      </c>
      <c r="G49" s="16">
        <f t="shared" si="1"/>
        <v>17.545112781954888</v>
      </c>
      <c r="H49" s="27">
        <f t="shared" si="2"/>
        <v>4.105556390977444E-2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 spans="1:24" ht="15.75" customHeight="1">
      <c r="A50" s="13">
        <v>2024</v>
      </c>
      <c r="B50" s="14">
        <f>'Dados gerais'!T14</f>
        <v>45627</v>
      </c>
      <c r="C50" s="13" t="s">
        <v>16</v>
      </c>
      <c r="D50" s="15">
        <f>2483+931</f>
        <v>3414</v>
      </c>
      <c r="E50" s="27">
        <f t="shared" si="4"/>
        <v>7.9887600000000001</v>
      </c>
      <c r="F50" s="13">
        <f>'Dados gerais'!W14</f>
        <v>278</v>
      </c>
      <c r="G50" s="16">
        <f t="shared" si="1"/>
        <v>12.280575539568344</v>
      </c>
      <c r="H50" s="27">
        <f t="shared" si="2"/>
        <v>2.8736546762589927E-2</v>
      </c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spans="1:24" ht="15.75" customHeight="1">
      <c r="A51" s="13">
        <v>2025</v>
      </c>
      <c r="B51" s="14">
        <f>'Dados gerais'!Z3</f>
        <v>45658</v>
      </c>
      <c r="C51" s="13" t="str">
        <f>'Dados gerais'!AA3</f>
        <v>janeiro</v>
      </c>
      <c r="D51" s="15">
        <f>2200+564</f>
        <v>2764</v>
      </c>
      <c r="E51" s="27">
        <f t="shared" si="4"/>
        <v>6.4677600000000002</v>
      </c>
      <c r="F51" s="13">
        <f>'Dados gerais'!AC3</f>
        <v>287</v>
      </c>
      <c r="G51" s="16">
        <f t="shared" si="1"/>
        <v>9.6306620209059233</v>
      </c>
      <c r="H51" s="27">
        <f t="shared" si="2"/>
        <v>2.2535749128919862E-2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>
      <c r="A52" s="13">
        <v>2025</v>
      </c>
      <c r="B52" s="14">
        <f>'Dados gerais'!Z4</f>
        <v>45689</v>
      </c>
      <c r="C52" s="13" t="str">
        <f>'Dados gerais'!AA4</f>
        <v>fevereiro</v>
      </c>
      <c r="D52" s="15">
        <f>2936+934</f>
        <v>3870</v>
      </c>
      <c r="E52" s="27">
        <f t="shared" si="4"/>
        <v>9.0557999999999996</v>
      </c>
      <c r="F52" s="13">
        <f>'Dados gerais'!AC4</f>
        <v>294</v>
      </c>
      <c r="G52" s="16">
        <f t="shared" si="1"/>
        <v>13.163265306122449</v>
      </c>
      <c r="H52" s="27">
        <f t="shared" si="2"/>
        <v>3.080204081632653E-2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>
      <c r="A53" s="13">
        <v>2025</v>
      </c>
      <c r="B53" s="14">
        <f>'Dados gerais'!Z5</f>
        <v>45717</v>
      </c>
      <c r="C53" s="13" t="str">
        <f>'Dados gerais'!AA5</f>
        <v>março</v>
      </c>
      <c r="D53" s="13">
        <f>4398+585</f>
        <v>4983</v>
      </c>
      <c r="E53" s="27">
        <f t="shared" si="4"/>
        <v>11.660220000000001</v>
      </c>
      <c r="F53" s="13">
        <f>'Dados gerais'!AC5</f>
        <v>294</v>
      </c>
      <c r="G53" s="16">
        <f t="shared" si="1"/>
        <v>16.948979591836736</v>
      </c>
      <c r="H53" s="27">
        <f t="shared" si="2"/>
        <v>3.9660612244897961E-2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>
      <c r="A54" s="13">
        <v>2025</v>
      </c>
      <c r="B54" s="14">
        <f>'Dados gerais'!Z6</f>
        <v>45748</v>
      </c>
      <c r="C54" s="13" t="str">
        <f>'Dados gerais'!AA6</f>
        <v>abril</v>
      </c>
      <c r="D54" s="13">
        <f>2998+790</f>
        <v>3788</v>
      </c>
      <c r="E54" s="27">
        <f t="shared" si="4"/>
        <v>8.8639200000000002</v>
      </c>
      <c r="F54" s="13">
        <f>'Dados gerais'!AC6</f>
        <v>0</v>
      </c>
      <c r="G54" s="16" t="e">
        <f t="shared" si="1"/>
        <v>#DIV/0!</v>
      </c>
      <c r="H54" s="27" t="e">
        <f t="shared" si="2"/>
        <v>#DIV/0!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>
      <c r="A55" s="13">
        <v>2025</v>
      </c>
      <c r="B55" s="14">
        <f>'Dados gerais'!Z7</f>
        <v>45778</v>
      </c>
      <c r="C55" s="13" t="str">
        <f>'Dados gerais'!AA7</f>
        <v>maio</v>
      </c>
      <c r="D55" s="13">
        <v>4964</v>
      </c>
      <c r="E55" s="27">
        <f t="shared" si="4"/>
        <v>11.61576</v>
      </c>
      <c r="F55" s="13">
        <f>'Dados gerais'!AC7</f>
        <v>0</v>
      </c>
      <c r="G55" s="16" t="e">
        <f t="shared" si="1"/>
        <v>#DIV/0!</v>
      </c>
      <c r="H55" s="27" t="e">
        <f t="shared" si="2"/>
        <v>#DIV/0!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>
      <c r="A56" s="18">
        <v>2025</v>
      </c>
      <c r="B56" s="17">
        <f>'Dados gerais'!Z8</f>
        <v>45809</v>
      </c>
      <c r="C56" s="18" t="str">
        <f>'Dados gerais'!AA8</f>
        <v>junho</v>
      </c>
      <c r="D56" s="18">
        <f>2858+889</f>
        <v>3747</v>
      </c>
      <c r="E56" s="29">
        <f t="shared" si="4"/>
        <v>8.7679799999999997</v>
      </c>
      <c r="F56" s="18">
        <f>'Dados gerais'!AC8</f>
        <v>0</v>
      </c>
      <c r="G56" s="19" t="e">
        <f t="shared" si="1"/>
        <v>#DIV/0!</v>
      </c>
      <c r="H56" s="29" t="e">
        <f t="shared" si="2"/>
        <v>#DIV/0!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>
      <c r="A57" s="18">
        <v>2025</v>
      </c>
      <c r="B57" s="17">
        <f>'Dados gerais'!Z9</f>
        <v>45839</v>
      </c>
      <c r="C57" s="18" t="str">
        <f>'Dados gerais'!AA9</f>
        <v>julho</v>
      </c>
      <c r="D57" s="18">
        <f>3732+863</f>
        <v>4595</v>
      </c>
      <c r="E57" s="29">
        <f t="shared" si="4"/>
        <v>10.7523</v>
      </c>
      <c r="F57" s="18">
        <f>'Dados gerais'!AC9</f>
        <v>0</v>
      </c>
      <c r="G57" s="19" t="e">
        <f t="shared" si="1"/>
        <v>#DIV/0!</v>
      </c>
      <c r="H57" s="29" t="e">
        <f t="shared" si="2"/>
        <v>#DIV/0!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>
      <c r="A58" s="13">
        <v>2025</v>
      </c>
      <c r="B58" s="14">
        <f>'Dados gerais'!Z10</f>
        <v>45870</v>
      </c>
      <c r="C58" s="13" t="str">
        <f>'Dados gerais'!AA10</f>
        <v>agosto</v>
      </c>
      <c r="D58" s="13"/>
      <c r="E58" s="13"/>
      <c r="F58" s="13">
        <f>'Dados gerais'!AC10</f>
        <v>0</v>
      </c>
      <c r="G58" s="13"/>
      <c r="H58" s="1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>
      <c r="A59" s="13">
        <v>2025</v>
      </c>
      <c r="B59" s="14">
        <f>'Dados gerais'!Z11</f>
        <v>45901</v>
      </c>
      <c r="C59" s="13" t="str">
        <f>'Dados gerais'!AA11</f>
        <v>setembro</v>
      </c>
      <c r="D59" s="13"/>
      <c r="E59" s="13"/>
      <c r="F59" s="13">
        <f>'Dados gerais'!AC11</f>
        <v>0</v>
      </c>
      <c r="G59" s="13"/>
      <c r="H59" s="1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>
      <c r="A60" s="13">
        <v>2025</v>
      </c>
      <c r="B60" s="14">
        <f>'Dados gerais'!Z12</f>
        <v>45931</v>
      </c>
      <c r="C60" s="13" t="str">
        <f>'Dados gerais'!AA12</f>
        <v>outubro</v>
      </c>
      <c r="D60" s="13"/>
      <c r="E60" s="13"/>
      <c r="F60" s="13">
        <f>'Dados gerais'!AC12</f>
        <v>0</v>
      </c>
      <c r="G60" s="13"/>
      <c r="H60" s="1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>
      <c r="A61" s="13">
        <v>2025</v>
      </c>
      <c r="B61" s="14">
        <f>'Dados gerais'!Z13</f>
        <v>45962</v>
      </c>
      <c r="C61" s="13" t="str">
        <f>'Dados gerais'!AA13</f>
        <v>novembro</v>
      </c>
      <c r="D61" s="13"/>
      <c r="E61" s="13"/>
      <c r="F61" s="13">
        <f>'Dados gerais'!AC13</f>
        <v>0</v>
      </c>
      <c r="G61" s="13"/>
      <c r="H61" s="1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>
      <c r="A62" s="13">
        <v>2025</v>
      </c>
      <c r="B62" s="14">
        <f>'Dados gerais'!Z14</f>
        <v>45992</v>
      </c>
      <c r="C62" s="13" t="str">
        <f>'Dados gerais'!AA14</f>
        <v>dezembro</v>
      </c>
      <c r="D62" s="13"/>
      <c r="E62" s="13"/>
      <c r="F62" s="13">
        <f>'Dados gerais'!AC14</f>
        <v>0</v>
      </c>
      <c r="G62" s="13"/>
      <c r="H62" s="1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</sheetData>
  <autoFilter ref="A2:D62"/>
  <pageMargins left="0.511811024" right="0.511811024" top="0.78740157499999996" bottom="0.78740157499999996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workbookViewId="0">
      <selection activeCell="D29" sqref="D29"/>
    </sheetView>
  </sheetViews>
  <sheetFormatPr defaultColWidth="14.42578125" defaultRowHeight="15" customHeight="1"/>
  <cols>
    <col min="1" max="1" width="9.140625" customWidth="1"/>
    <col min="2" max="3" width="18" customWidth="1"/>
    <col min="4" max="4" width="27.28515625" customWidth="1"/>
    <col min="5" max="5" width="14.28515625" customWidth="1"/>
    <col min="6" max="6" width="33" customWidth="1"/>
    <col min="7" max="10" width="9.140625" customWidth="1"/>
    <col min="11" max="11" width="8.710937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5" t="s">
        <v>0</v>
      </c>
      <c r="B2" s="5" t="s">
        <v>17</v>
      </c>
      <c r="C2" s="5" t="s">
        <v>2</v>
      </c>
      <c r="D2" s="5" t="s">
        <v>34</v>
      </c>
      <c r="E2" s="5" t="s">
        <v>35</v>
      </c>
      <c r="F2" s="5" t="s">
        <v>36</v>
      </c>
      <c r="G2" s="1"/>
      <c r="H2" s="1"/>
      <c r="I2" s="1"/>
      <c r="J2" s="1"/>
      <c r="K2" s="1"/>
    </row>
    <row r="3" spans="1:11">
      <c r="A3" s="13">
        <v>2024</v>
      </c>
      <c r="B3" s="14">
        <f>'Dados gerais'!T3</f>
        <v>45292</v>
      </c>
      <c r="C3" s="13" t="s">
        <v>5</v>
      </c>
      <c r="D3" s="47">
        <v>0.10299999999999999</v>
      </c>
      <c r="E3" s="13">
        <v>1234</v>
      </c>
      <c r="F3" s="48">
        <f t="shared" ref="F3:F21" si="0">D3/E3</f>
        <v>8.3468395461912479E-5</v>
      </c>
      <c r="G3" s="1"/>
      <c r="H3" s="1"/>
      <c r="I3" s="1"/>
      <c r="J3" s="1"/>
      <c r="K3" s="1"/>
    </row>
    <row r="4" spans="1:11">
      <c r="A4" s="13">
        <v>2024</v>
      </c>
      <c r="B4" s="14">
        <f>'Dados gerais'!T4</f>
        <v>45323</v>
      </c>
      <c r="C4" s="13" t="s">
        <v>6</v>
      </c>
      <c r="D4" s="47">
        <v>0.377</v>
      </c>
      <c r="E4" s="13">
        <v>2925</v>
      </c>
      <c r="F4" s="48">
        <f t="shared" si="0"/>
        <v>1.2888888888888889E-4</v>
      </c>
      <c r="G4" s="1"/>
      <c r="H4" s="1"/>
      <c r="I4" s="1"/>
      <c r="J4" s="1"/>
      <c r="K4" s="1"/>
    </row>
    <row r="5" spans="1:11">
      <c r="A5" s="13">
        <v>2024</v>
      </c>
      <c r="B5" s="14">
        <f>'Dados gerais'!T5</f>
        <v>45352</v>
      </c>
      <c r="C5" s="13" t="s">
        <v>7</v>
      </c>
      <c r="D5" s="47">
        <v>0.7</v>
      </c>
      <c r="E5" s="13">
        <v>8374</v>
      </c>
      <c r="F5" s="48">
        <f t="shared" si="0"/>
        <v>8.3592070695008355E-5</v>
      </c>
      <c r="G5" s="1"/>
      <c r="H5" s="1"/>
      <c r="I5" s="1"/>
      <c r="J5" s="1"/>
      <c r="K5" s="1"/>
    </row>
    <row r="6" spans="1:11">
      <c r="A6" s="13">
        <v>2024</v>
      </c>
      <c r="B6" s="14">
        <f>'Dados gerais'!T6</f>
        <v>45383</v>
      </c>
      <c r="C6" s="13" t="s">
        <v>8</v>
      </c>
      <c r="D6" s="47">
        <f>0.806+0.189</f>
        <v>0.99500000000000011</v>
      </c>
      <c r="E6" s="13">
        <v>8292</v>
      </c>
      <c r="F6" s="48">
        <f t="shared" si="0"/>
        <v>1.1999517607332369E-4</v>
      </c>
      <c r="G6" s="1"/>
      <c r="H6" s="1"/>
      <c r="I6" s="1"/>
      <c r="J6" s="1"/>
      <c r="K6" s="1"/>
    </row>
    <row r="7" spans="1:11">
      <c r="A7" s="13">
        <v>2024</v>
      </c>
      <c r="B7" s="14">
        <f>'Dados gerais'!T7</f>
        <v>45413</v>
      </c>
      <c r="C7" s="13" t="s">
        <v>9</v>
      </c>
      <c r="D7" s="47">
        <f>0.155+0.717</f>
        <v>0.872</v>
      </c>
      <c r="E7" s="16">
        <f>746.02+8579.92</f>
        <v>9325.94</v>
      </c>
      <c r="F7" s="48">
        <f t="shared" si="0"/>
        <v>9.3502638876081121E-5</v>
      </c>
      <c r="G7" s="1"/>
      <c r="H7" s="1"/>
      <c r="I7" s="1"/>
      <c r="J7" s="1"/>
      <c r="K7" s="1"/>
    </row>
    <row r="8" spans="1:11">
      <c r="A8" s="13">
        <v>2024</v>
      </c>
      <c r="B8" s="14">
        <f>'Dados gerais'!T8</f>
        <v>45444</v>
      </c>
      <c r="C8" s="13" t="s">
        <v>10</v>
      </c>
      <c r="D8" s="47">
        <f>0.099+0.337</f>
        <v>0.43600000000000005</v>
      </c>
      <c r="E8" s="16">
        <v>4748</v>
      </c>
      <c r="F8" s="48">
        <f t="shared" si="0"/>
        <v>9.182813816343725E-5</v>
      </c>
      <c r="G8" s="1"/>
      <c r="H8" s="1"/>
      <c r="I8" s="1"/>
      <c r="J8" s="1"/>
      <c r="K8" s="1"/>
    </row>
    <row r="9" spans="1:11">
      <c r="A9" s="13">
        <v>2024</v>
      </c>
      <c r="B9" s="14">
        <f>'Dados gerais'!T9</f>
        <v>45474</v>
      </c>
      <c r="C9" s="13" t="s">
        <v>11</v>
      </c>
      <c r="D9" s="47">
        <v>0.26900000000000002</v>
      </c>
      <c r="E9" s="16">
        <v>7369.1</v>
      </c>
      <c r="F9" s="48">
        <f t="shared" si="0"/>
        <v>3.6503779294622139E-5</v>
      </c>
      <c r="G9" s="1"/>
      <c r="H9" s="1"/>
      <c r="I9" s="1"/>
      <c r="J9" s="1"/>
      <c r="K9" s="1"/>
    </row>
    <row r="10" spans="1:11">
      <c r="A10" s="13">
        <v>2024</v>
      </c>
      <c r="B10" s="14">
        <f>'Dados gerais'!T10</f>
        <v>45505</v>
      </c>
      <c r="C10" s="13" t="s">
        <v>12</v>
      </c>
      <c r="D10" s="47">
        <f>0.413+0.76</f>
        <v>1.173</v>
      </c>
      <c r="E10" s="16">
        <v>11086.4</v>
      </c>
      <c r="F10" s="48">
        <f t="shared" si="0"/>
        <v>1.0580531101169E-4</v>
      </c>
      <c r="G10" s="1"/>
      <c r="H10" s="1"/>
      <c r="I10" s="1"/>
      <c r="J10" s="1"/>
      <c r="K10" s="1"/>
    </row>
    <row r="11" spans="1:11">
      <c r="A11" s="13">
        <v>2024</v>
      </c>
      <c r="B11" s="14">
        <f>'Dados gerais'!T11</f>
        <v>45536</v>
      </c>
      <c r="C11" s="13" t="s">
        <v>13</v>
      </c>
      <c r="D11" s="47">
        <v>0.95199999999999996</v>
      </c>
      <c r="E11" s="16">
        <v>9754</v>
      </c>
      <c r="F11" s="48">
        <f t="shared" si="0"/>
        <v>9.7600984211605485E-5</v>
      </c>
      <c r="G11" s="1"/>
      <c r="H11" s="1"/>
      <c r="I11" s="1"/>
      <c r="J11" s="1"/>
      <c r="K11" s="1"/>
    </row>
    <row r="12" spans="1:11">
      <c r="A12" s="13">
        <v>2024</v>
      </c>
      <c r="B12" s="14">
        <f>'Dados gerais'!T12</f>
        <v>45566</v>
      </c>
      <c r="C12" s="13" t="s">
        <v>14</v>
      </c>
      <c r="D12" s="47">
        <v>0.90600000000000003</v>
      </c>
      <c r="E12" s="16">
        <v>9140.5</v>
      </c>
      <c r="F12" s="48">
        <f t="shared" si="0"/>
        <v>9.9119304195612938E-5</v>
      </c>
      <c r="G12" s="1"/>
      <c r="H12" s="1"/>
      <c r="I12" s="1"/>
      <c r="J12" s="1"/>
      <c r="K12" s="1"/>
    </row>
    <row r="13" spans="1:11">
      <c r="A13" s="13">
        <v>2024</v>
      </c>
      <c r="B13" s="14">
        <f>'Dados gerais'!T13</f>
        <v>45597</v>
      </c>
      <c r="C13" s="13" t="s">
        <v>15</v>
      </c>
      <c r="D13" s="47">
        <v>0.82499999999999996</v>
      </c>
      <c r="E13" s="13">
        <v>8450</v>
      </c>
      <c r="F13" s="48">
        <f t="shared" si="0"/>
        <v>9.7633136094674557E-5</v>
      </c>
      <c r="G13" s="1"/>
      <c r="H13" s="1"/>
      <c r="I13" s="1"/>
      <c r="J13" s="1"/>
      <c r="K13" s="1"/>
    </row>
    <row r="14" spans="1:11">
      <c r="A14" s="13">
        <v>2024</v>
      </c>
      <c r="B14" s="14">
        <f>'Dados gerais'!T14</f>
        <v>45627</v>
      </c>
      <c r="C14" s="13" t="s">
        <v>16</v>
      </c>
      <c r="D14" s="47">
        <v>0.55800000000000005</v>
      </c>
      <c r="E14" s="13">
        <v>6677</v>
      </c>
      <c r="F14" s="48">
        <f t="shared" si="0"/>
        <v>8.3570465778044038E-5</v>
      </c>
      <c r="G14" s="1"/>
      <c r="H14" s="1"/>
      <c r="I14" s="1"/>
      <c r="J14" s="1"/>
      <c r="K14" s="1"/>
    </row>
    <row r="15" spans="1:11">
      <c r="A15" s="13">
        <v>2025</v>
      </c>
      <c r="B15" s="14">
        <f>'Dados gerais'!Z3</f>
        <v>45658</v>
      </c>
      <c r="C15" s="13" t="str">
        <f>'Dados gerais'!AA3</f>
        <v>janeiro</v>
      </c>
      <c r="D15" s="47">
        <v>0.88200000000000001</v>
      </c>
      <c r="E15" s="16">
        <v>6782.2</v>
      </c>
      <c r="F15" s="48">
        <f t="shared" si="0"/>
        <v>1.3004629766152575E-4</v>
      </c>
      <c r="G15" s="1"/>
      <c r="H15" s="1"/>
      <c r="I15" s="1"/>
      <c r="J15" s="1"/>
      <c r="K15" s="1"/>
    </row>
    <row r="16" spans="1:11">
      <c r="A16" s="13">
        <v>2025</v>
      </c>
      <c r="B16" s="14">
        <f>'Dados gerais'!Z4</f>
        <v>45689</v>
      </c>
      <c r="C16" s="13" t="str">
        <f>'Dados gerais'!AA4</f>
        <v>fevereiro</v>
      </c>
      <c r="D16" s="47">
        <v>0.96099999999999997</v>
      </c>
      <c r="E16" s="16">
        <v>9926.1</v>
      </c>
      <c r="F16" s="48">
        <f t="shared" si="0"/>
        <v>9.6815466295926893E-5</v>
      </c>
      <c r="G16" s="1"/>
      <c r="H16" s="1"/>
      <c r="I16" s="1"/>
      <c r="J16" s="1"/>
      <c r="K16" s="1"/>
    </row>
    <row r="17" spans="1:11">
      <c r="A17" s="13">
        <v>2025</v>
      </c>
      <c r="B17" s="14">
        <f>'Dados gerais'!Z5</f>
        <v>45717</v>
      </c>
      <c r="C17" s="13" t="str">
        <f>'Dados gerais'!AA5</f>
        <v>março</v>
      </c>
      <c r="D17" s="47">
        <v>0.80500000000000005</v>
      </c>
      <c r="E17" s="13">
        <v>8468</v>
      </c>
      <c r="F17" s="48">
        <f t="shared" si="0"/>
        <v>9.506376948512046E-5</v>
      </c>
      <c r="G17" s="1"/>
      <c r="H17" s="1"/>
      <c r="I17" s="1"/>
      <c r="J17" s="1"/>
      <c r="K17" s="1"/>
    </row>
    <row r="18" spans="1:11">
      <c r="A18" s="13">
        <v>2025</v>
      </c>
      <c r="B18" s="14">
        <f>'Dados gerais'!Z6</f>
        <v>45748</v>
      </c>
      <c r="C18" s="13" t="str">
        <f>'Dados gerais'!AA6</f>
        <v>abril</v>
      </c>
      <c r="D18" s="47">
        <v>1.1279999999999999</v>
      </c>
      <c r="E18" s="13">
        <v>10804</v>
      </c>
      <c r="F18" s="48">
        <f t="shared" si="0"/>
        <v>1.0440577563865235E-4</v>
      </c>
      <c r="G18" s="1"/>
      <c r="H18" s="1"/>
      <c r="I18" s="1"/>
      <c r="J18" s="1"/>
      <c r="K18" s="1"/>
    </row>
    <row r="19" spans="1:11">
      <c r="A19" s="13">
        <v>2025</v>
      </c>
      <c r="B19" s="14">
        <f>'Dados gerais'!Z7</f>
        <v>45778</v>
      </c>
      <c r="C19" s="13" t="str">
        <f>'Dados gerais'!AA7</f>
        <v>maio</v>
      </c>
      <c r="D19" s="47">
        <v>1.014</v>
      </c>
      <c r="E19" s="13">
        <v>10617</v>
      </c>
      <c r="F19" s="48">
        <f t="shared" si="0"/>
        <v>9.5507205425261375E-5</v>
      </c>
      <c r="G19" s="1"/>
      <c r="H19" s="1"/>
      <c r="I19" s="1"/>
      <c r="J19" s="1"/>
      <c r="K19" s="1"/>
    </row>
    <row r="20" spans="1:11">
      <c r="A20" s="18">
        <v>2025</v>
      </c>
      <c r="B20" s="17">
        <f>'Dados gerais'!Z8</f>
        <v>45809</v>
      </c>
      <c r="C20" s="18" t="str">
        <f>'Dados gerais'!AA8</f>
        <v>junho</v>
      </c>
      <c r="D20" s="49">
        <v>0.435</v>
      </c>
      <c r="E20" s="18">
        <v>4483</v>
      </c>
      <c r="F20" s="50">
        <f t="shared" si="0"/>
        <v>9.7033236671871517E-5</v>
      </c>
      <c r="G20" s="1"/>
      <c r="H20" s="1"/>
      <c r="I20" s="1"/>
      <c r="J20" s="1"/>
      <c r="K20" s="1"/>
    </row>
    <row r="21" spans="1:11" ht="15.75" customHeight="1">
      <c r="A21" s="18">
        <v>2025</v>
      </c>
      <c r="B21" s="17">
        <f>'Dados gerais'!Z9</f>
        <v>45839</v>
      </c>
      <c r="C21" s="18" t="str">
        <f>'Dados gerais'!AA9</f>
        <v>julho</v>
      </c>
      <c r="D21" s="49">
        <v>1.405</v>
      </c>
      <c r="E21" s="18">
        <v>6596</v>
      </c>
      <c r="F21" s="50">
        <f t="shared" si="0"/>
        <v>2.1300788356579746E-4</v>
      </c>
      <c r="G21" s="1"/>
      <c r="H21" s="1"/>
      <c r="I21" s="1"/>
      <c r="J21" s="1"/>
      <c r="K21" s="1"/>
    </row>
    <row r="22" spans="1:11" ht="15.75" customHeight="1">
      <c r="A22" s="13">
        <v>2025</v>
      </c>
      <c r="B22" s="14">
        <f>'Dados gerais'!Z10</f>
        <v>45870</v>
      </c>
      <c r="C22" s="13" t="str">
        <f>'Dados gerais'!AA10</f>
        <v>agosto</v>
      </c>
      <c r="D22" s="36"/>
      <c r="E22" s="13"/>
      <c r="F22" s="13"/>
      <c r="G22" s="1"/>
      <c r="H22" s="1"/>
      <c r="I22" s="1"/>
      <c r="J22" s="1"/>
      <c r="K22" s="1"/>
    </row>
    <row r="23" spans="1:11" ht="15.75" customHeight="1">
      <c r="A23" s="13">
        <v>2025</v>
      </c>
      <c r="B23" s="14">
        <f>'Dados gerais'!Z11</f>
        <v>45901</v>
      </c>
      <c r="C23" s="13" t="str">
        <f>'Dados gerais'!AA11</f>
        <v>setembro</v>
      </c>
      <c r="D23" s="13"/>
      <c r="E23" s="13"/>
      <c r="F23" s="13"/>
      <c r="G23" s="1"/>
      <c r="H23" s="1"/>
      <c r="I23" s="1"/>
      <c r="J23" s="1"/>
      <c r="K23" s="1"/>
    </row>
    <row r="24" spans="1:11" ht="15.75" customHeight="1">
      <c r="A24" s="13">
        <v>2025</v>
      </c>
      <c r="B24" s="14">
        <f>'Dados gerais'!Z12</f>
        <v>45931</v>
      </c>
      <c r="C24" s="13" t="str">
        <f>'Dados gerais'!AA12</f>
        <v>outubro</v>
      </c>
      <c r="D24" s="13"/>
      <c r="E24" s="13"/>
      <c r="F24" s="13"/>
      <c r="G24" s="1"/>
      <c r="H24" s="1"/>
      <c r="I24" s="1"/>
      <c r="J24" s="1"/>
      <c r="K24" s="1"/>
    </row>
    <row r="25" spans="1:11" ht="15.75" customHeight="1">
      <c r="A25" s="13">
        <v>2025</v>
      </c>
      <c r="B25" s="14">
        <f>'Dados gerais'!Z13</f>
        <v>45962</v>
      </c>
      <c r="C25" s="13" t="str">
        <f>'Dados gerais'!AA13</f>
        <v>novembro</v>
      </c>
      <c r="D25" s="13"/>
      <c r="E25" s="13"/>
      <c r="F25" s="13"/>
      <c r="G25" s="1"/>
      <c r="H25" s="1"/>
      <c r="I25" s="1"/>
      <c r="J25" s="1"/>
      <c r="K25" s="1"/>
    </row>
    <row r="26" spans="1:11" ht="15.75" customHeight="1">
      <c r="A26" s="13">
        <v>2025</v>
      </c>
      <c r="B26" s="14">
        <f>'Dados gerais'!Z14</f>
        <v>45992</v>
      </c>
      <c r="C26" s="13" t="str">
        <f>'Dados gerais'!AA14</f>
        <v>dezembro</v>
      </c>
      <c r="D26" s="13"/>
      <c r="E26" s="13"/>
      <c r="F26" s="13"/>
      <c r="G26" s="1"/>
      <c r="H26" s="1"/>
      <c r="I26" s="1"/>
      <c r="J26" s="1"/>
      <c r="K26" s="1"/>
    </row>
    <row r="27" spans="1:11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autoFilter ref="A2:F26"/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topLeftCell="A10" workbookViewId="0"/>
  </sheetViews>
  <sheetFormatPr defaultColWidth="14.42578125" defaultRowHeight="15" customHeight="1"/>
  <cols>
    <col min="1" max="1" width="9.140625" customWidth="1"/>
    <col min="2" max="2" width="18" customWidth="1"/>
    <col min="3" max="3" width="17.28515625" customWidth="1"/>
    <col min="4" max="4" width="24.28515625" customWidth="1"/>
    <col min="5" max="5" width="13.140625" customWidth="1"/>
    <col min="6" max="6" width="22.140625" customWidth="1"/>
    <col min="7" max="10" width="9.140625" customWidth="1"/>
    <col min="11" max="11" width="8.7109375" customWidth="1"/>
  </cols>
  <sheetData>
    <row r="1" spans="1:11" ht="30">
      <c r="A1" s="5" t="s">
        <v>0</v>
      </c>
      <c r="B1" s="5" t="s">
        <v>17</v>
      </c>
      <c r="C1" s="30" t="s">
        <v>2</v>
      </c>
      <c r="D1" s="31" t="s">
        <v>37</v>
      </c>
      <c r="E1" s="31" t="s">
        <v>38</v>
      </c>
      <c r="F1" s="32" t="s">
        <v>39</v>
      </c>
      <c r="G1" s="1"/>
      <c r="H1" s="1"/>
      <c r="I1" s="1"/>
      <c r="J1" s="1"/>
      <c r="K1" s="1"/>
    </row>
    <row r="2" spans="1:11">
      <c r="A2" s="13">
        <v>2024</v>
      </c>
      <c r="B2" s="14">
        <f>'Dados gerais'!T3</f>
        <v>45292</v>
      </c>
      <c r="C2" s="35" t="s">
        <v>5</v>
      </c>
      <c r="D2" s="15">
        <v>3751.7</v>
      </c>
      <c r="E2" s="13">
        <v>37</v>
      </c>
      <c r="F2" s="34">
        <f t="shared" ref="F2:F56" si="0">D2/E2</f>
        <v>101.39729729729729</v>
      </c>
      <c r="G2" s="1"/>
      <c r="H2" s="1"/>
      <c r="I2" s="1"/>
      <c r="J2" s="1"/>
      <c r="K2" s="1"/>
    </row>
    <row r="3" spans="1:11">
      <c r="A3" s="13">
        <v>2024</v>
      </c>
      <c r="B3" s="14">
        <f>'Dados gerais'!T4</f>
        <v>45323</v>
      </c>
      <c r="C3" s="35" t="s">
        <v>6</v>
      </c>
      <c r="D3" s="15">
        <v>2548.3000000000002</v>
      </c>
      <c r="E3" s="13">
        <v>18</v>
      </c>
      <c r="F3" s="34">
        <f t="shared" si="0"/>
        <v>141.57222222222222</v>
      </c>
      <c r="G3" s="1"/>
      <c r="H3" s="1"/>
      <c r="I3" s="1"/>
      <c r="J3" s="1"/>
      <c r="K3" s="1"/>
    </row>
    <row r="4" spans="1:11">
      <c r="A4" s="13">
        <v>2024</v>
      </c>
      <c r="B4" s="14">
        <f>'Dados gerais'!T5</f>
        <v>45352</v>
      </c>
      <c r="C4" s="35" t="s">
        <v>7</v>
      </c>
      <c r="D4" s="15">
        <v>3769.8</v>
      </c>
      <c r="E4" s="13">
        <v>30</v>
      </c>
      <c r="F4" s="34">
        <f t="shared" si="0"/>
        <v>125.66000000000001</v>
      </c>
      <c r="G4" s="1"/>
      <c r="H4" s="1"/>
      <c r="I4" s="1"/>
      <c r="J4" s="1"/>
      <c r="K4" s="1"/>
    </row>
    <row r="5" spans="1:11">
      <c r="A5" s="13">
        <v>2024</v>
      </c>
      <c r="B5" s="14">
        <f>'Dados gerais'!T6</f>
        <v>45383</v>
      </c>
      <c r="C5" s="35" t="s">
        <v>8</v>
      </c>
      <c r="D5" s="15">
        <v>5578.3</v>
      </c>
      <c r="E5" s="13">
        <v>45</v>
      </c>
      <c r="F5" s="34">
        <f t="shared" si="0"/>
        <v>123.96222222222222</v>
      </c>
      <c r="G5" s="1"/>
      <c r="H5" s="1"/>
      <c r="I5" s="1"/>
      <c r="J5" s="1"/>
      <c r="K5" s="1"/>
    </row>
    <row r="6" spans="1:11">
      <c r="A6" s="13">
        <v>2024</v>
      </c>
      <c r="B6" s="14">
        <f>'Dados gerais'!T7</f>
        <v>45413</v>
      </c>
      <c r="C6" s="35" t="s">
        <v>9</v>
      </c>
      <c r="D6" s="15">
        <v>5799.9</v>
      </c>
      <c r="E6" s="13">
        <v>51</v>
      </c>
      <c r="F6" s="34">
        <f t="shared" si="0"/>
        <v>113.7235294117647</v>
      </c>
      <c r="G6" s="1"/>
      <c r="H6" s="1"/>
      <c r="I6" s="1"/>
      <c r="J6" s="1"/>
      <c r="K6" s="1"/>
    </row>
    <row r="7" spans="1:11">
      <c r="A7" s="13">
        <v>2024</v>
      </c>
      <c r="B7" s="14">
        <f>'Dados gerais'!T8</f>
        <v>45444</v>
      </c>
      <c r="C7" s="35" t="s">
        <v>10</v>
      </c>
      <c r="D7" s="15">
        <v>3440.5</v>
      </c>
      <c r="E7" s="13">
        <v>33</v>
      </c>
      <c r="F7" s="34">
        <f t="shared" si="0"/>
        <v>104.25757575757575</v>
      </c>
      <c r="G7" s="1"/>
      <c r="H7" s="1"/>
      <c r="I7" s="1"/>
      <c r="J7" s="1"/>
      <c r="K7" s="1"/>
    </row>
    <row r="8" spans="1:11">
      <c r="A8" s="13">
        <v>2024</v>
      </c>
      <c r="B8" s="14">
        <f>'Dados gerais'!T9</f>
        <v>45474</v>
      </c>
      <c r="C8" s="35" t="s">
        <v>11</v>
      </c>
      <c r="D8" s="15">
        <v>3600.4</v>
      </c>
      <c r="E8" s="13">
        <v>36</v>
      </c>
      <c r="F8" s="34">
        <f t="shared" si="0"/>
        <v>100.01111111111112</v>
      </c>
      <c r="G8" s="1"/>
      <c r="H8" s="1"/>
      <c r="I8" s="1"/>
      <c r="J8" s="1"/>
      <c r="K8" s="1"/>
    </row>
    <row r="9" spans="1:11">
      <c r="A9" s="13">
        <v>2024</v>
      </c>
      <c r="B9" s="14">
        <f>'Dados gerais'!T10</f>
        <v>45505</v>
      </c>
      <c r="C9" s="35" t="s">
        <v>12</v>
      </c>
      <c r="D9" s="15">
        <v>4771</v>
      </c>
      <c r="E9" s="13">
        <v>42</v>
      </c>
      <c r="F9" s="34">
        <f t="shared" si="0"/>
        <v>113.5952380952381</v>
      </c>
      <c r="G9" s="1"/>
      <c r="H9" s="1"/>
      <c r="I9" s="1"/>
      <c r="J9" s="1"/>
      <c r="K9" s="1"/>
    </row>
    <row r="10" spans="1:11">
      <c r="A10" s="13">
        <v>2024</v>
      </c>
      <c r="B10" s="14">
        <f>'Dados gerais'!T11</f>
        <v>45536</v>
      </c>
      <c r="C10" s="35" t="s">
        <v>13</v>
      </c>
      <c r="D10" s="15">
        <v>3834</v>
      </c>
      <c r="E10" s="13">
        <v>51</v>
      </c>
      <c r="F10" s="34">
        <f t="shared" si="0"/>
        <v>75.17647058823529</v>
      </c>
      <c r="G10" s="1"/>
      <c r="H10" s="1"/>
      <c r="I10" s="1"/>
      <c r="J10" s="1"/>
      <c r="K10" s="1"/>
    </row>
    <row r="11" spans="1:11">
      <c r="A11" s="13">
        <v>2024</v>
      </c>
      <c r="B11" s="14">
        <f>'Dados gerais'!T12</f>
        <v>45566</v>
      </c>
      <c r="C11" s="35" t="s">
        <v>14</v>
      </c>
      <c r="D11" s="15">
        <v>4198.3</v>
      </c>
      <c r="E11" s="13">
        <v>53</v>
      </c>
      <c r="F11" s="34">
        <f t="shared" si="0"/>
        <v>79.213207547169816</v>
      </c>
      <c r="G11" s="1"/>
      <c r="H11" s="1"/>
      <c r="I11" s="1"/>
      <c r="J11" s="1"/>
      <c r="K11" s="1"/>
    </row>
    <row r="12" spans="1:11">
      <c r="A12" s="13">
        <v>2024</v>
      </c>
      <c r="B12" s="14">
        <f>'Dados gerais'!T13</f>
        <v>45597</v>
      </c>
      <c r="C12" s="35" t="s">
        <v>15</v>
      </c>
      <c r="D12" s="15">
        <v>2756.1</v>
      </c>
      <c r="E12" s="13">
        <v>20</v>
      </c>
      <c r="F12" s="34">
        <f t="shared" si="0"/>
        <v>137.80500000000001</v>
      </c>
      <c r="G12" s="1"/>
      <c r="H12" s="1"/>
      <c r="I12" s="1"/>
      <c r="J12" s="1"/>
      <c r="K12" s="1"/>
    </row>
    <row r="13" spans="1:11">
      <c r="A13" s="13">
        <v>2023</v>
      </c>
      <c r="B13" s="14">
        <f>'Dados gerais'!N3</f>
        <v>44927</v>
      </c>
      <c r="C13" s="33" t="str">
        <f t="shared" ref="C13:C18" si="1">TEXT(B13,"mmmm")</f>
        <v>janeiro</v>
      </c>
      <c r="D13" s="15">
        <v>4824.7299999999987</v>
      </c>
      <c r="E13" s="13">
        <v>71</v>
      </c>
      <c r="F13" s="34">
        <f t="shared" si="0"/>
        <v>67.953943661971806</v>
      </c>
      <c r="G13" s="1"/>
      <c r="H13" s="1"/>
      <c r="I13" s="1"/>
      <c r="J13" s="1"/>
      <c r="K13" s="1"/>
    </row>
    <row r="14" spans="1:11">
      <c r="A14" s="13">
        <v>2023</v>
      </c>
      <c r="B14" s="14">
        <f>'Dados gerais'!N4</f>
        <v>44958</v>
      </c>
      <c r="C14" s="33" t="str">
        <f t="shared" si="1"/>
        <v>fevereiro</v>
      </c>
      <c r="D14" s="15">
        <v>2948.177999999999</v>
      </c>
      <c r="E14" s="13">
        <v>111</v>
      </c>
      <c r="F14" s="34">
        <f t="shared" si="0"/>
        <v>26.560162162162154</v>
      </c>
      <c r="G14" s="1"/>
      <c r="H14" s="1"/>
      <c r="I14" s="1"/>
      <c r="J14" s="1"/>
      <c r="K14" s="1"/>
    </row>
    <row r="15" spans="1:11">
      <c r="A15" s="13">
        <v>2023</v>
      </c>
      <c r="B15" s="14">
        <f>'Dados gerais'!N5</f>
        <v>44986</v>
      </c>
      <c r="C15" s="33" t="str">
        <f t="shared" si="1"/>
        <v>março</v>
      </c>
      <c r="D15" s="15">
        <v>9727.1840000000011</v>
      </c>
      <c r="E15" s="13">
        <v>141</v>
      </c>
      <c r="F15" s="34">
        <f t="shared" si="0"/>
        <v>68.987120567375896</v>
      </c>
      <c r="G15" s="1"/>
      <c r="H15" s="1"/>
      <c r="I15" s="1"/>
      <c r="J15" s="1"/>
      <c r="K15" s="1"/>
    </row>
    <row r="16" spans="1:11">
      <c r="A16" s="13">
        <v>2023</v>
      </c>
      <c r="B16" s="14">
        <f>'Dados gerais'!N6</f>
        <v>45017</v>
      </c>
      <c r="C16" s="33" t="str">
        <f t="shared" si="1"/>
        <v>abril</v>
      </c>
      <c r="D16" s="15">
        <v>4955.0319999999983</v>
      </c>
      <c r="E16" s="13">
        <v>121</v>
      </c>
      <c r="F16" s="34">
        <f t="shared" si="0"/>
        <v>40.950677685950403</v>
      </c>
      <c r="G16" s="1"/>
      <c r="H16" s="1"/>
      <c r="I16" s="1"/>
      <c r="J16" s="1"/>
      <c r="K16" s="1"/>
    </row>
    <row r="17" spans="1:11">
      <c r="A17" s="13">
        <v>2023</v>
      </c>
      <c r="B17" s="14">
        <f>'Dados gerais'!N7</f>
        <v>45047</v>
      </c>
      <c r="C17" s="33" t="str">
        <f t="shared" si="1"/>
        <v>maio</v>
      </c>
      <c r="D17" s="15">
        <v>6146.5460000000003</v>
      </c>
      <c r="E17" s="13">
        <v>105</v>
      </c>
      <c r="F17" s="34">
        <f t="shared" si="0"/>
        <v>58.538533333333334</v>
      </c>
      <c r="G17" s="1"/>
      <c r="H17" s="1"/>
      <c r="I17" s="1"/>
      <c r="J17" s="1"/>
      <c r="K17" s="1"/>
    </row>
    <row r="18" spans="1:11">
      <c r="A18" s="13">
        <v>2023</v>
      </c>
      <c r="B18" s="14">
        <f>'Dados gerais'!N8</f>
        <v>45078</v>
      </c>
      <c r="C18" s="33" t="str">
        <f t="shared" si="1"/>
        <v>junho</v>
      </c>
      <c r="D18" s="15">
        <v>2578.0999999999995</v>
      </c>
      <c r="E18" s="13">
        <v>121</v>
      </c>
      <c r="F18" s="34">
        <f t="shared" si="0"/>
        <v>21.306611570247931</v>
      </c>
      <c r="G18" s="1"/>
      <c r="H18" s="1"/>
      <c r="I18" s="1"/>
      <c r="J18" s="1"/>
      <c r="K18" s="1"/>
    </row>
    <row r="19" spans="1:11">
      <c r="A19" s="13">
        <v>2023</v>
      </c>
      <c r="B19" s="14">
        <f>'Dados gerais'!N9</f>
        <v>45108</v>
      </c>
      <c r="C19" s="33" t="s">
        <v>11</v>
      </c>
      <c r="D19" s="15">
        <v>3100.3240000000001</v>
      </c>
      <c r="E19" s="13">
        <v>98</v>
      </c>
      <c r="F19" s="34">
        <f t="shared" si="0"/>
        <v>31.635959183673471</v>
      </c>
      <c r="G19" s="1"/>
      <c r="H19" s="1"/>
      <c r="I19" s="1"/>
      <c r="J19" s="1"/>
      <c r="K19" s="1"/>
    </row>
    <row r="20" spans="1:11">
      <c r="A20" s="13">
        <v>2023</v>
      </c>
      <c r="B20" s="14">
        <f>'Dados gerais'!N10</f>
        <v>45139</v>
      </c>
      <c r="C20" s="33" t="s">
        <v>12</v>
      </c>
      <c r="D20" s="15">
        <v>6548.3739999999998</v>
      </c>
      <c r="E20" s="13">
        <v>139</v>
      </c>
      <c r="F20" s="34">
        <f t="shared" si="0"/>
        <v>47.110604316546763</v>
      </c>
      <c r="G20" s="1"/>
      <c r="H20" s="1"/>
      <c r="I20" s="1"/>
      <c r="J20" s="1"/>
      <c r="K20" s="1"/>
    </row>
    <row r="21" spans="1:11" ht="15.75" customHeight="1">
      <c r="A21" s="13">
        <v>2023</v>
      </c>
      <c r="B21" s="14">
        <f>'Dados gerais'!N11</f>
        <v>45170</v>
      </c>
      <c r="C21" s="33" t="s">
        <v>13</v>
      </c>
      <c r="D21" s="15">
        <v>3212.3379999999993</v>
      </c>
      <c r="E21" s="13">
        <v>144</v>
      </c>
      <c r="F21" s="34">
        <f t="shared" si="0"/>
        <v>22.307902777777773</v>
      </c>
      <c r="G21" s="21"/>
      <c r="H21" s="21"/>
      <c r="I21" s="21"/>
      <c r="J21" s="21"/>
      <c r="K21" s="21"/>
    </row>
    <row r="22" spans="1:11" ht="15.75" customHeight="1">
      <c r="A22" s="13">
        <v>2023</v>
      </c>
      <c r="B22" s="14">
        <f>'Dados gerais'!N12</f>
        <v>45200</v>
      </c>
      <c r="C22" s="33" t="s">
        <v>14</v>
      </c>
      <c r="D22" s="15">
        <v>3205.7339999999995</v>
      </c>
      <c r="E22" s="13">
        <v>28</v>
      </c>
      <c r="F22" s="34">
        <f t="shared" si="0"/>
        <v>114.49049999999998</v>
      </c>
      <c r="G22" s="21"/>
      <c r="H22" s="21"/>
      <c r="I22" s="21"/>
      <c r="J22" s="21"/>
      <c r="K22" s="21"/>
    </row>
    <row r="23" spans="1:11" ht="15.75" customHeight="1">
      <c r="A23" s="13">
        <v>2023</v>
      </c>
      <c r="B23" s="14">
        <f>'Dados gerais'!N13</f>
        <v>45231</v>
      </c>
      <c r="C23" s="33" t="s">
        <v>15</v>
      </c>
      <c r="D23" s="15">
        <v>1981.2460000000001</v>
      </c>
      <c r="E23" s="13">
        <v>14</v>
      </c>
      <c r="F23" s="34">
        <f t="shared" si="0"/>
        <v>141.51757142857144</v>
      </c>
      <c r="G23" s="21"/>
      <c r="H23" s="21"/>
      <c r="I23" s="21"/>
      <c r="J23" s="21"/>
      <c r="K23" s="21"/>
    </row>
    <row r="24" spans="1:11" ht="15.75" customHeight="1">
      <c r="A24" s="13">
        <v>2023</v>
      </c>
      <c r="B24" s="14">
        <f>'Dados gerais'!N14</f>
        <v>45261</v>
      </c>
      <c r="C24" s="33" t="s">
        <v>16</v>
      </c>
      <c r="D24" s="15">
        <v>849.6</v>
      </c>
      <c r="E24" s="13">
        <v>11</v>
      </c>
      <c r="F24" s="34">
        <f t="shared" si="0"/>
        <v>77.236363636363635</v>
      </c>
      <c r="G24" s="1"/>
      <c r="H24" s="1"/>
      <c r="I24" s="1"/>
      <c r="J24" s="1"/>
      <c r="K24" s="1"/>
    </row>
    <row r="25" spans="1:11" ht="15.75" customHeight="1">
      <c r="A25" s="13">
        <v>2022</v>
      </c>
      <c r="B25" s="14">
        <f>'Dados gerais'!H3</f>
        <v>44562</v>
      </c>
      <c r="C25" s="33" t="str">
        <f t="shared" ref="C25:C48" si="2">TEXT(B25,"mmmm")</f>
        <v>janeiro</v>
      </c>
      <c r="D25" s="36">
        <v>3268.85</v>
      </c>
      <c r="E25" s="13">
        <v>117</v>
      </c>
      <c r="F25" s="34">
        <f t="shared" si="0"/>
        <v>27.938888888888886</v>
      </c>
      <c r="G25" s="1"/>
      <c r="H25" s="1"/>
      <c r="I25" s="1"/>
      <c r="J25" s="1"/>
      <c r="K25" s="1"/>
    </row>
    <row r="26" spans="1:11" ht="15.75" customHeight="1">
      <c r="A26" s="13">
        <v>2022</v>
      </c>
      <c r="B26" s="14">
        <f>'Dados gerais'!H4</f>
        <v>44593</v>
      </c>
      <c r="C26" s="33" t="str">
        <f t="shared" si="2"/>
        <v>fevereiro</v>
      </c>
      <c r="D26" s="36">
        <v>2093.5100000000002</v>
      </c>
      <c r="E26" s="13">
        <v>117</v>
      </c>
      <c r="F26" s="34">
        <f t="shared" si="0"/>
        <v>17.893247863247865</v>
      </c>
      <c r="G26" s="1"/>
      <c r="H26" s="1"/>
      <c r="I26" s="1"/>
      <c r="J26" s="1"/>
      <c r="K26" s="1"/>
    </row>
    <row r="27" spans="1:11" ht="15.75" customHeight="1">
      <c r="A27" s="13">
        <v>2022</v>
      </c>
      <c r="B27" s="14">
        <f>'Dados gerais'!H5</f>
        <v>44621</v>
      </c>
      <c r="C27" s="33" t="str">
        <f t="shared" si="2"/>
        <v>março</v>
      </c>
      <c r="D27" s="36">
        <v>3603.7400000000002</v>
      </c>
      <c r="E27" s="13">
        <v>117</v>
      </c>
      <c r="F27" s="34">
        <f t="shared" si="0"/>
        <v>30.801196581196582</v>
      </c>
      <c r="G27" s="1"/>
      <c r="H27" s="1"/>
      <c r="I27" s="1"/>
      <c r="J27" s="1"/>
      <c r="K27" s="1"/>
    </row>
    <row r="28" spans="1:11" ht="15.75" customHeight="1">
      <c r="A28" s="13">
        <v>2022</v>
      </c>
      <c r="B28" s="14">
        <f>'Dados gerais'!H6</f>
        <v>44652</v>
      </c>
      <c r="C28" s="33" t="str">
        <f t="shared" si="2"/>
        <v>abril</v>
      </c>
      <c r="D28" s="36">
        <v>2423.6999999999998</v>
      </c>
      <c r="E28" s="13">
        <v>117</v>
      </c>
      <c r="F28" s="34">
        <f t="shared" si="0"/>
        <v>20.715384615384615</v>
      </c>
      <c r="G28" s="1"/>
      <c r="H28" s="1"/>
      <c r="I28" s="1"/>
      <c r="J28" s="1"/>
      <c r="K28" s="1"/>
    </row>
    <row r="29" spans="1:11" ht="15.75" customHeight="1">
      <c r="A29" s="13">
        <v>2022</v>
      </c>
      <c r="B29" s="14">
        <f>'Dados gerais'!H7</f>
        <v>44682</v>
      </c>
      <c r="C29" s="33" t="str">
        <f t="shared" si="2"/>
        <v>maio</v>
      </c>
      <c r="D29" s="36">
        <v>6080.909999999998</v>
      </c>
      <c r="E29" s="13">
        <v>117</v>
      </c>
      <c r="F29" s="34">
        <f t="shared" si="0"/>
        <v>51.973589743589727</v>
      </c>
      <c r="G29" s="1"/>
      <c r="H29" s="1"/>
      <c r="I29" s="1"/>
      <c r="J29" s="1"/>
      <c r="K29" s="1"/>
    </row>
    <row r="30" spans="1:11" ht="15.75" customHeight="1">
      <c r="A30" s="13">
        <v>2022</v>
      </c>
      <c r="B30" s="14">
        <f>'Dados gerais'!H8</f>
        <v>44713</v>
      </c>
      <c r="C30" s="33" t="str">
        <f t="shared" si="2"/>
        <v>junho</v>
      </c>
      <c r="D30" s="36">
        <v>4456.0600000000013</v>
      </c>
      <c r="E30" s="13">
        <v>117</v>
      </c>
      <c r="F30" s="34">
        <f t="shared" si="0"/>
        <v>38.085982905982917</v>
      </c>
      <c r="G30" s="1"/>
      <c r="H30" s="1"/>
      <c r="I30" s="1"/>
      <c r="J30" s="1"/>
      <c r="K30" s="1"/>
    </row>
    <row r="31" spans="1:11" ht="15.75" customHeight="1">
      <c r="A31" s="13">
        <v>2022</v>
      </c>
      <c r="B31" s="14">
        <f>'Dados gerais'!H9</f>
        <v>44743</v>
      </c>
      <c r="C31" s="33" t="str">
        <f t="shared" si="2"/>
        <v>julho</v>
      </c>
      <c r="D31" s="36">
        <v>12782.929999999993</v>
      </c>
      <c r="E31" s="13">
        <v>117</v>
      </c>
      <c r="F31" s="34">
        <f t="shared" si="0"/>
        <v>109.2558119658119</v>
      </c>
      <c r="G31" s="1"/>
      <c r="H31" s="1"/>
      <c r="I31" s="1"/>
      <c r="J31" s="1"/>
      <c r="K31" s="1"/>
    </row>
    <row r="32" spans="1:11" ht="15.75" customHeight="1">
      <c r="A32" s="13">
        <v>2022</v>
      </c>
      <c r="B32" s="14">
        <f>'Dados gerais'!H10</f>
        <v>44774</v>
      </c>
      <c r="C32" s="33" t="str">
        <f t="shared" si="2"/>
        <v>agosto</v>
      </c>
      <c r="D32" s="36">
        <v>9828.3300000000017</v>
      </c>
      <c r="E32" s="13">
        <v>117</v>
      </c>
      <c r="F32" s="34">
        <f t="shared" si="0"/>
        <v>84.002820512820534</v>
      </c>
      <c r="G32" s="1"/>
      <c r="H32" s="1"/>
      <c r="I32" s="1"/>
      <c r="J32" s="1"/>
      <c r="K32" s="1"/>
    </row>
    <row r="33" spans="1:11" ht="15.75" customHeight="1">
      <c r="A33" s="13">
        <v>2022</v>
      </c>
      <c r="B33" s="14">
        <f>'Dados gerais'!H11</f>
        <v>44805</v>
      </c>
      <c r="C33" s="33" t="str">
        <f t="shared" si="2"/>
        <v>setembro</v>
      </c>
      <c r="D33" s="36">
        <v>5925.659999999998</v>
      </c>
      <c r="E33" s="13">
        <v>117</v>
      </c>
      <c r="F33" s="34">
        <f t="shared" si="0"/>
        <v>50.646666666666647</v>
      </c>
      <c r="G33" s="1"/>
      <c r="H33" s="1"/>
      <c r="I33" s="1"/>
      <c r="J33" s="1"/>
      <c r="K33" s="1"/>
    </row>
    <row r="34" spans="1:11" ht="15.75" customHeight="1">
      <c r="A34" s="13">
        <v>2022</v>
      </c>
      <c r="B34" s="14">
        <f>'Dados gerais'!H12</f>
        <v>44835</v>
      </c>
      <c r="C34" s="33" t="str">
        <f t="shared" si="2"/>
        <v>outubro</v>
      </c>
      <c r="D34" s="36">
        <v>5610.79</v>
      </c>
      <c r="E34" s="13">
        <v>117</v>
      </c>
      <c r="F34" s="34">
        <f t="shared" si="0"/>
        <v>47.955470085470083</v>
      </c>
      <c r="G34" s="1"/>
      <c r="H34" s="1"/>
      <c r="I34" s="1"/>
      <c r="J34" s="1"/>
      <c r="K34" s="1"/>
    </row>
    <row r="35" spans="1:11" ht="15.75" customHeight="1">
      <c r="A35" s="13">
        <v>2022</v>
      </c>
      <c r="B35" s="14">
        <f>'Dados gerais'!H13</f>
        <v>44866</v>
      </c>
      <c r="C35" s="33" t="str">
        <f t="shared" si="2"/>
        <v>novembro</v>
      </c>
      <c r="D35" s="36">
        <v>1469.0000000000002</v>
      </c>
      <c r="E35" s="13">
        <v>117</v>
      </c>
      <c r="F35" s="34">
        <f t="shared" si="0"/>
        <v>12.555555555555557</v>
      </c>
      <c r="G35" s="1"/>
      <c r="H35" s="1"/>
      <c r="I35" s="1"/>
      <c r="J35" s="1"/>
      <c r="K35" s="1"/>
    </row>
    <row r="36" spans="1:11" ht="15.75" customHeight="1">
      <c r="A36" s="13">
        <v>2022</v>
      </c>
      <c r="B36" s="14">
        <f>'Dados gerais'!H14</f>
        <v>44896</v>
      </c>
      <c r="C36" s="33" t="str">
        <f t="shared" si="2"/>
        <v>dezembro</v>
      </c>
      <c r="D36" s="36">
        <v>4751.0400000000009</v>
      </c>
      <c r="E36" s="13">
        <v>117</v>
      </c>
      <c r="F36" s="34">
        <f t="shared" si="0"/>
        <v>40.607179487179494</v>
      </c>
      <c r="G36" s="1"/>
      <c r="H36" s="1"/>
      <c r="I36" s="1"/>
      <c r="J36" s="1"/>
      <c r="K36" s="1"/>
    </row>
    <row r="37" spans="1:11" ht="15.75" customHeight="1">
      <c r="A37" s="13">
        <v>2021</v>
      </c>
      <c r="B37" s="14">
        <f>'Dados gerais'!B3</f>
        <v>44197</v>
      </c>
      <c r="C37" s="33" t="str">
        <f t="shared" si="2"/>
        <v>janeiro</v>
      </c>
      <c r="D37" s="36">
        <v>0</v>
      </c>
      <c r="E37" s="13">
        <v>117</v>
      </c>
      <c r="F37" s="34">
        <f t="shared" si="0"/>
        <v>0</v>
      </c>
      <c r="G37" s="1"/>
      <c r="H37" s="1"/>
      <c r="I37" s="1"/>
      <c r="J37" s="1"/>
      <c r="K37" s="1"/>
    </row>
    <row r="38" spans="1:11" ht="15.75" customHeight="1">
      <c r="A38" s="13">
        <v>2021</v>
      </c>
      <c r="B38" s="14">
        <f>'Dados gerais'!B4</f>
        <v>44228</v>
      </c>
      <c r="C38" s="33" t="str">
        <f t="shared" si="2"/>
        <v>fevereiro</v>
      </c>
      <c r="D38" s="36">
        <v>1441.8200000000002</v>
      </c>
      <c r="E38" s="13">
        <v>117</v>
      </c>
      <c r="F38" s="34">
        <f t="shared" si="0"/>
        <v>12.323247863247865</v>
      </c>
      <c r="G38" s="1"/>
      <c r="H38" s="1"/>
      <c r="I38" s="1"/>
      <c r="J38" s="1"/>
      <c r="K38" s="1"/>
    </row>
    <row r="39" spans="1:11" ht="15.75" customHeight="1">
      <c r="A39" s="13">
        <v>2021</v>
      </c>
      <c r="B39" s="14">
        <f>'Dados gerais'!B5</f>
        <v>44256</v>
      </c>
      <c r="C39" s="33" t="str">
        <f t="shared" si="2"/>
        <v>março</v>
      </c>
      <c r="D39" s="36">
        <v>506.28999999999996</v>
      </c>
      <c r="E39" s="13">
        <v>117</v>
      </c>
      <c r="F39" s="34">
        <f t="shared" si="0"/>
        <v>4.3272649572649566</v>
      </c>
      <c r="G39" s="1"/>
      <c r="H39" s="1"/>
      <c r="I39" s="1"/>
      <c r="J39" s="1"/>
      <c r="K39" s="1"/>
    </row>
    <row r="40" spans="1:11" ht="15.75" customHeight="1">
      <c r="A40" s="13">
        <v>2021</v>
      </c>
      <c r="B40" s="14">
        <f>'Dados gerais'!B6</f>
        <v>44287</v>
      </c>
      <c r="C40" s="33" t="str">
        <f t="shared" si="2"/>
        <v>abril</v>
      </c>
      <c r="D40" s="36">
        <v>0</v>
      </c>
      <c r="E40" s="13">
        <v>117</v>
      </c>
      <c r="F40" s="34">
        <f t="shared" si="0"/>
        <v>0</v>
      </c>
      <c r="G40" s="1"/>
      <c r="H40" s="1"/>
      <c r="I40" s="1"/>
      <c r="J40" s="1"/>
      <c r="K40" s="1"/>
    </row>
    <row r="41" spans="1:11" ht="15.75" customHeight="1">
      <c r="A41" s="13">
        <v>2021</v>
      </c>
      <c r="B41" s="14">
        <f>'Dados gerais'!B7</f>
        <v>44317</v>
      </c>
      <c r="C41" s="33" t="str">
        <f t="shared" si="2"/>
        <v>maio</v>
      </c>
      <c r="D41" s="36">
        <v>811.06</v>
      </c>
      <c r="E41" s="13">
        <v>117</v>
      </c>
      <c r="F41" s="34">
        <f t="shared" si="0"/>
        <v>6.9321367521367518</v>
      </c>
      <c r="G41" s="1"/>
      <c r="H41" s="1"/>
      <c r="I41" s="1"/>
      <c r="J41" s="1"/>
      <c r="K41" s="1"/>
    </row>
    <row r="42" spans="1:11" ht="15.75" customHeight="1">
      <c r="A42" s="13">
        <v>2021</v>
      </c>
      <c r="B42" s="14">
        <f>'Dados gerais'!B8</f>
        <v>44348</v>
      </c>
      <c r="C42" s="33" t="str">
        <f t="shared" si="2"/>
        <v>junho</v>
      </c>
      <c r="D42" s="36">
        <v>1669.47</v>
      </c>
      <c r="E42" s="13">
        <v>117</v>
      </c>
      <c r="F42" s="34">
        <f t="shared" si="0"/>
        <v>14.26897435897436</v>
      </c>
      <c r="G42" s="1"/>
      <c r="H42" s="1"/>
      <c r="I42" s="1"/>
      <c r="J42" s="1"/>
      <c r="K42" s="1"/>
    </row>
    <row r="43" spans="1:11" ht="15.75" customHeight="1">
      <c r="A43" s="13">
        <v>2021</v>
      </c>
      <c r="B43" s="14">
        <f>'Dados gerais'!B9</f>
        <v>44378</v>
      </c>
      <c r="C43" s="33" t="str">
        <f t="shared" si="2"/>
        <v>julho</v>
      </c>
      <c r="D43" s="36">
        <v>2704.2599999999998</v>
      </c>
      <c r="E43" s="13">
        <v>117</v>
      </c>
      <c r="F43" s="34">
        <f t="shared" si="0"/>
        <v>23.11333333333333</v>
      </c>
      <c r="G43" s="1"/>
      <c r="H43" s="1"/>
      <c r="I43" s="1"/>
      <c r="J43" s="1"/>
      <c r="K43" s="1"/>
    </row>
    <row r="44" spans="1:11" ht="15.75" customHeight="1">
      <c r="A44" s="13">
        <v>2021</v>
      </c>
      <c r="B44" s="14">
        <f>'Dados gerais'!B10</f>
        <v>44409</v>
      </c>
      <c r="C44" s="33" t="str">
        <f t="shared" si="2"/>
        <v>agosto</v>
      </c>
      <c r="D44" s="36">
        <v>453.48999999999995</v>
      </c>
      <c r="E44" s="13">
        <v>117</v>
      </c>
      <c r="F44" s="34">
        <f t="shared" si="0"/>
        <v>3.8759829059829056</v>
      </c>
      <c r="G44" s="1"/>
      <c r="H44" s="1"/>
      <c r="I44" s="1"/>
      <c r="J44" s="1"/>
      <c r="K44" s="1"/>
    </row>
    <row r="45" spans="1:11" ht="15.75" customHeight="1">
      <c r="A45" s="13">
        <v>2021</v>
      </c>
      <c r="B45" s="14">
        <f>'Dados gerais'!B11</f>
        <v>44440</v>
      </c>
      <c r="C45" s="33" t="str">
        <f t="shared" si="2"/>
        <v>setembro</v>
      </c>
      <c r="D45" s="36">
        <v>1430.3</v>
      </c>
      <c r="E45" s="13">
        <v>117</v>
      </c>
      <c r="F45" s="34">
        <f t="shared" si="0"/>
        <v>12.224786324786324</v>
      </c>
      <c r="G45" s="1"/>
      <c r="H45" s="1"/>
      <c r="I45" s="1"/>
      <c r="J45" s="1"/>
      <c r="K45" s="1"/>
    </row>
    <row r="46" spans="1:11" ht="15.75" customHeight="1">
      <c r="A46" s="13">
        <v>2021</v>
      </c>
      <c r="B46" s="14">
        <f>'Dados gerais'!B12</f>
        <v>44470</v>
      </c>
      <c r="C46" s="33" t="str">
        <f t="shared" si="2"/>
        <v>outubro</v>
      </c>
      <c r="D46" s="36">
        <v>2996.0899999999997</v>
      </c>
      <c r="E46" s="13">
        <v>117</v>
      </c>
      <c r="F46" s="34">
        <f t="shared" si="0"/>
        <v>25.607606837606834</v>
      </c>
      <c r="G46" s="1"/>
      <c r="H46" s="1"/>
      <c r="I46" s="1"/>
      <c r="J46" s="1"/>
      <c r="K46" s="1"/>
    </row>
    <row r="47" spans="1:11" ht="15.75" customHeight="1">
      <c r="A47" s="13">
        <v>2021</v>
      </c>
      <c r="B47" s="14">
        <f>'Dados gerais'!B13</f>
        <v>44501</v>
      </c>
      <c r="C47" s="33" t="str">
        <f t="shared" si="2"/>
        <v>novembro</v>
      </c>
      <c r="D47" s="36">
        <v>906.09999999999991</v>
      </c>
      <c r="E47" s="13">
        <v>117</v>
      </c>
      <c r="F47" s="34">
        <f t="shared" si="0"/>
        <v>7.7444444444444436</v>
      </c>
      <c r="G47" s="1"/>
      <c r="H47" s="1"/>
      <c r="I47" s="1"/>
      <c r="J47" s="1"/>
      <c r="K47" s="1"/>
    </row>
    <row r="48" spans="1:11" ht="15.75" customHeight="1">
      <c r="A48" s="13">
        <v>2021</v>
      </c>
      <c r="B48" s="14">
        <f>'Dados gerais'!B14</f>
        <v>44531</v>
      </c>
      <c r="C48" s="33" t="str">
        <f t="shared" si="2"/>
        <v>dezembro</v>
      </c>
      <c r="D48" s="36">
        <v>1428.85</v>
      </c>
      <c r="E48" s="13">
        <v>117</v>
      </c>
      <c r="F48" s="34">
        <f t="shared" si="0"/>
        <v>12.212393162393161</v>
      </c>
      <c r="G48" s="1"/>
      <c r="H48" s="1"/>
      <c r="I48" s="1"/>
      <c r="J48" s="1"/>
      <c r="K48" s="1"/>
    </row>
    <row r="49" spans="1:11" ht="15.75" customHeight="1">
      <c r="A49" s="13">
        <v>2024</v>
      </c>
      <c r="B49" s="14">
        <f>'Dados gerais'!T14</f>
        <v>45627</v>
      </c>
      <c r="C49" s="35" t="s">
        <v>16</v>
      </c>
      <c r="D49" s="36">
        <v>1520.9</v>
      </c>
      <c r="E49" s="13">
        <v>28</v>
      </c>
      <c r="F49" s="34">
        <f t="shared" si="0"/>
        <v>54.317857142857143</v>
      </c>
      <c r="G49" s="1"/>
      <c r="H49" s="1"/>
      <c r="I49" s="1"/>
      <c r="J49" s="1"/>
      <c r="K49" s="1"/>
    </row>
    <row r="50" spans="1:11" ht="15.75" customHeight="1">
      <c r="A50" s="13">
        <v>2025</v>
      </c>
      <c r="B50" s="14">
        <f>'Dados gerais'!Z3</f>
        <v>45658</v>
      </c>
      <c r="C50" s="35" t="str">
        <f>'Dados gerais'!AA3</f>
        <v>janeiro</v>
      </c>
      <c r="D50" s="36">
        <v>4878.1000000000004</v>
      </c>
      <c r="E50" s="13">
        <v>37</v>
      </c>
      <c r="F50" s="34">
        <f t="shared" si="0"/>
        <v>131.84054054054056</v>
      </c>
      <c r="G50" s="1"/>
      <c r="H50" s="1"/>
      <c r="I50" s="1"/>
      <c r="J50" s="1"/>
      <c r="K50" s="1"/>
    </row>
    <row r="51" spans="1:11" ht="15.75" customHeight="1">
      <c r="A51" s="13">
        <v>2025</v>
      </c>
      <c r="B51" s="14">
        <f>'Dados gerais'!Z4</f>
        <v>45689</v>
      </c>
      <c r="C51" s="35" t="str">
        <f>'Dados gerais'!AA4</f>
        <v>fevereiro</v>
      </c>
      <c r="D51" s="36">
        <v>4968.8</v>
      </c>
      <c r="E51" s="13">
        <v>37</v>
      </c>
      <c r="F51" s="34">
        <f t="shared" si="0"/>
        <v>134.29189189189191</v>
      </c>
      <c r="G51" s="1"/>
      <c r="H51" s="1"/>
      <c r="I51" s="1"/>
      <c r="J51" s="1"/>
      <c r="K51" s="1"/>
    </row>
    <row r="52" spans="1:11" ht="15.75" customHeight="1">
      <c r="A52" s="13">
        <v>2025</v>
      </c>
      <c r="B52" s="14">
        <f>'Dados gerais'!Z5</f>
        <v>45717</v>
      </c>
      <c r="C52" s="35" t="str">
        <f>'Dados gerais'!AA5</f>
        <v>março</v>
      </c>
      <c r="D52" s="36">
        <v>5763.7</v>
      </c>
      <c r="E52" s="13">
        <v>47</v>
      </c>
      <c r="F52" s="34">
        <f t="shared" si="0"/>
        <v>122.63191489361702</v>
      </c>
      <c r="G52" s="1"/>
      <c r="H52" s="1"/>
      <c r="I52" s="1"/>
      <c r="J52" s="1"/>
      <c r="K52" s="1"/>
    </row>
    <row r="53" spans="1:11" ht="15.75" customHeight="1">
      <c r="A53" s="13">
        <v>2025</v>
      </c>
      <c r="B53" s="14">
        <f>'Dados gerais'!Z6</f>
        <v>45748</v>
      </c>
      <c r="C53" s="35" t="str">
        <f>'Dados gerais'!AA6</f>
        <v>abril</v>
      </c>
      <c r="D53" s="36">
        <v>4970.5</v>
      </c>
      <c r="E53" s="13">
        <v>36</v>
      </c>
      <c r="F53" s="34">
        <f t="shared" si="0"/>
        <v>138.06944444444446</v>
      </c>
      <c r="G53" s="1"/>
      <c r="H53" s="1"/>
      <c r="I53" s="1"/>
      <c r="J53" s="1"/>
      <c r="K53" s="1"/>
    </row>
    <row r="54" spans="1:11" ht="15.75" customHeight="1">
      <c r="A54" s="13">
        <v>2025</v>
      </c>
      <c r="B54" s="14">
        <f>'Dados gerais'!Z7</f>
        <v>45778</v>
      </c>
      <c r="C54" s="35" t="str">
        <f>'Dados gerais'!AA7</f>
        <v>maio</v>
      </c>
      <c r="D54" s="36">
        <v>6571.3</v>
      </c>
      <c r="E54" s="13">
        <v>74</v>
      </c>
      <c r="F54" s="34">
        <f t="shared" si="0"/>
        <v>88.801351351351357</v>
      </c>
      <c r="G54" s="1"/>
      <c r="H54" s="1"/>
      <c r="I54" s="1"/>
      <c r="J54" s="1"/>
      <c r="K54" s="1"/>
    </row>
    <row r="55" spans="1:11" ht="15.75" customHeight="1">
      <c r="A55" s="18">
        <v>2025</v>
      </c>
      <c r="B55" s="17">
        <f>'Dados gerais'!Z8</f>
        <v>45809</v>
      </c>
      <c r="C55" s="37" t="str">
        <f>'Dados gerais'!AA8</f>
        <v>junho</v>
      </c>
      <c r="D55" s="38">
        <v>10595.7</v>
      </c>
      <c r="E55" s="18">
        <v>53</v>
      </c>
      <c r="F55" s="39">
        <f t="shared" si="0"/>
        <v>199.91886792452831</v>
      </c>
      <c r="G55" s="1"/>
      <c r="H55" s="1"/>
      <c r="I55" s="1"/>
      <c r="J55" s="1"/>
      <c r="K55" s="1"/>
    </row>
    <row r="56" spans="1:11" ht="15.75" customHeight="1">
      <c r="A56" s="18">
        <v>2025</v>
      </c>
      <c r="B56" s="17">
        <f>'Dados gerais'!Z9</f>
        <v>45839</v>
      </c>
      <c r="C56" s="37" t="str">
        <f>'Dados gerais'!AA9</f>
        <v>julho</v>
      </c>
      <c r="D56" s="38">
        <v>2281.9</v>
      </c>
      <c r="E56" s="18">
        <v>28</v>
      </c>
      <c r="F56" s="39">
        <f t="shared" si="0"/>
        <v>81.496428571428581</v>
      </c>
      <c r="G56" s="1"/>
      <c r="H56" s="1"/>
      <c r="I56" s="1"/>
      <c r="J56" s="1"/>
      <c r="K56" s="1"/>
    </row>
    <row r="57" spans="1:11" ht="15.75" customHeight="1">
      <c r="A57" s="13">
        <v>2025</v>
      </c>
      <c r="B57" s="14">
        <f>'Dados gerais'!Z10</f>
        <v>45870</v>
      </c>
      <c r="C57" s="35" t="str">
        <f>'Dados gerais'!AA10</f>
        <v>agosto</v>
      </c>
      <c r="D57" s="13"/>
      <c r="E57" s="13"/>
      <c r="F57" s="13"/>
      <c r="G57" s="1"/>
      <c r="H57" s="1"/>
      <c r="I57" s="1"/>
      <c r="J57" s="1"/>
      <c r="K57" s="1"/>
    </row>
    <row r="58" spans="1:11" ht="15.75" customHeight="1">
      <c r="A58" s="13">
        <v>2025</v>
      </c>
      <c r="B58" s="14">
        <f>'Dados gerais'!Z11</f>
        <v>45901</v>
      </c>
      <c r="C58" s="35" t="str">
        <f>'Dados gerais'!AA11</f>
        <v>setembro</v>
      </c>
      <c r="D58" s="13"/>
      <c r="E58" s="13"/>
      <c r="F58" s="13"/>
      <c r="G58" s="1"/>
      <c r="H58" s="1"/>
      <c r="I58" s="1"/>
      <c r="J58" s="1"/>
      <c r="K58" s="1"/>
    </row>
    <row r="59" spans="1:11" ht="15.75" customHeight="1">
      <c r="A59" s="13">
        <v>2025</v>
      </c>
      <c r="B59" s="14">
        <f>'Dados gerais'!Z12</f>
        <v>45931</v>
      </c>
      <c r="C59" s="35" t="str">
        <f>'Dados gerais'!AA12</f>
        <v>outubro</v>
      </c>
      <c r="D59" s="13"/>
      <c r="E59" s="13"/>
      <c r="F59" s="13"/>
      <c r="G59" s="1"/>
      <c r="H59" s="1"/>
      <c r="I59" s="1"/>
      <c r="J59" s="1"/>
      <c r="K59" s="1"/>
    </row>
    <row r="60" spans="1:11" ht="15.75" customHeight="1">
      <c r="A60" s="13">
        <v>2025</v>
      </c>
      <c r="B60" s="14">
        <f>'Dados gerais'!Z13</f>
        <v>45962</v>
      </c>
      <c r="C60" s="35" t="str">
        <f>'Dados gerais'!AA13</f>
        <v>novembro</v>
      </c>
      <c r="D60" s="13"/>
      <c r="E60" s="13"/>
      <c r="F60" s="13"/>
      <c r="G60" s="1"/>
      <c r="H60" s="1"/>
      <c r="I60" s="1"/>
      <c r="J60" s="1"/>
      <c r="K60" s="1"/>
    </row>
    <row r="61" spans="1:11" ht="15.75" customHeight="1">
      <c r="A61" s="13">
        <v>2025</v>
      </c>
      <c r="B61" s="14">
        <f>'Dados gerais'!Z14</f>
        <v>45992</v>
      </c>
      <c r="C61" s="35" t="str">
        <f>'Dados gerais'!AA14</f>
        <v>dezembro</v>
      </c>
      <c r="D61" s="13"/>
      <c r="E61" s="13"/>
      <c r="F61" s="13"/>
      <c r="G61" s="1"/>
      <c r="H61" s="1"/>
      <c r="I61" s="1"/>
      <c r="J61" s="1"/>
      <c r="K61" s="1"/>
    </row>
    <row r="62" spans="1:11" ht="15.75" customHeight="1">
      <c r="A62" s="1"/>
      <c r="B62" s="1"/>
      <c r="C62" s="40"/>
      <c r="D62" s="1"/>
      <c r="E62" s="1"/>
      <c r="F62" s="1"/>
      <c r="G62" s="1"/>
      <c r="H62" s="1"/>
      <c r="I62" s="1"/>
      <c r="J62" s="1"/>
      <c r="K62" s="1"/>
    </row>
    <row r="63" spans="1:11" ht="15.75" customHeight="1">
      <c r="A63" s="1"/>
      <c r="B63" s="1"/>
      <c r="C63" s="40"/>
      <c r="D63" s="1"/>
      <c r="E63" s="1"/>
      <c r="F63" s="1"/>
      <c r="G63" s="1"/>
      <c r="H63" s="1"/>
      <c r="I63" s="1"/>
      <c r="J63" s="1"/>
      <c r="K63" s="1"/>
    </row>
    <row r="64" spans="1:11" ht="15.75" customHeight="1">
      <c r="A64" s="1"/>
      <c r="B64" s="1"/>
      <c r="C64" s="40"/>
      <c r="D64" s="1"/>
      <c r="E64" s="1"/>
      <c r="F64" s="1"/>
      <c r="G64" s="1"/>
      <c r="H64" s="1"/>
      <c r="I64" s="1"/>
      <c r="J64" s="1"/>
      <c r="K64" s="1"/>
    </row>
    <row r="65" spans="1:11" ht="15.75" customHeight="1">
      <c r="A65" s="1"/>
      <c r="B65" s="1"/>
      <c r="C65" s="40"/>
      <c r="D65" s="1"/>
      <c r="E65" s="1"/>
      <c r="F65" s="1"/>
      <c r="G65" s="1"/>
      <c r="H65" s="1"/>
      <c r="I65" s="1"/>
      <c r="J65" s="1"/>
      <c r="K65" s="1"/>
    </row>
    <row r="66" spans="1:11" ht="15.75" customHeight="1">
      <c r="A66" s="1"/>
      <c r="B66" s="1"/>
      <c r="C66" s="40"/>
      <c r="D66" s="1"/>
      <c r="E66" s="1"/>
      <c r="F66" s="1"/>
      <c r="G66" s="1"/>
      <c r="H66" s="1"/>
      <c r="I66" s="1"/>
      <c r="J66" s="1"/>
      <c r="K66" s="1"/>
    </row>
    <row r="67" spans="1:11" ht="15.75" customHeight="1">
      <c r="A67" s="1"/>
      <c r="B67" s="1"/>
      <c r="C67" s="40"/>
      <c r="D67" s="1"/>
      <c r="E67" s="1"/>
      <c r="F67" s="1"/>
      <c r="G67" s="1"/>
      <c r="H67" s="1"/>
      <c r="I67" s="1"/>
      <c r="J67" s="1"/>
      <c r="K67" s="1"/>
    </row>
    <row r="68" spans="1:11" ht="15.75" customHeight="1">
      <c r="A68" s="1"/>
      <c r="B68" s="1"/>
      <c r="C68" s="40"/>
      <c r="D68" s="1"/>
      <c r="E68" s="1"/>
      <c r="F68" s="1"/>
      <c r="G68" s="1"/>
      <c r="H68" s="1"/>
      <c r="I68" s="1"/>
      <c r="J68" s="1"/>
      <c r="K68" s="1"/>
    </row>
    <row r="69" spans="1:11" ht="15.75" customHeight="1">
      <c r="A69" s="1"/>
      <c r="B69" s="1"/>
      <c r="C69" s="40"/>
      <c r="D69" s="1"/>
      <c r="E69" s="1"/>
      <c r="F69" s="1"/>
      <c r="G69" s="1"/>
      <c r="H69" s="1"/>
      <c r="I69" s="1"/>
      <c r="J69" s="1"/>
      <c r="K69" s="1"/>
    </row>
    <row r="70" spans="1:11" ht="15.75" customHeight="1">
      <c r="A70" s="1"/>
      <c r="B70" s="1"/>
      <c r="C70" s="40"/>
      <c r="D70" s="1"/>
      <c r="E70" s="1"/>
      <c r="F70" s="1"/>
      <c r="G70" s="1"/>
      <c r="H70" s="1"/>
      <c r="I70" s="1"/>
      <c r="J70" s="1"/>
      <c r="K70" s="1"/>
    </row>
    <row r="71" spans="1:11" ht="15.75" customHeight="1">
      <c r="A71" s="1"/>
      <c r="B71" s="1"/>
      <c r="C71" s="40"/>
      <c r="D71" s="1"/>
      <c r="E71" s="1"/>
      <c r="F71" s="1"/>
      <c r="G71" s="1"/>
      <c r="H71" s="1"/>
      <c r="I71" s="1"/>
      <c r="J71" s="1"/>
      <c r="K71" s="1"/>
    </row>
    <row r="72" spans="1:11" ht="15.75" customHeight="1">
      <c r="A72" s="1"/>
      <c r="B72" s="1"/>
      <c r="C72" s="40"/>
      <c r="D72" s="1"/>
      <c r="E72" s="1"/>
      <c r="F72" s="1"/>
      <c r="G72" s="1"/>
      <c r="H72" s="1"/>
      <c r="I72" s="1"/>
      <c r="J72" s="1"/>
      <c r="K72" s="1"/>
    </row>
    <row r="73" spans="1:11" ht="15.75" customHeight="1">
      <c r="A73" s="1"/>
      <c r="B73" s="1"/>
      <c r="C73" s="40"/>
      <c r="D73" s="1"/>
      <c r="E73" s="1"/>
      <c r="F73" s="1"/>
      <c r="G73" s="1"/>
      <c r="H73" s="1"/>
      <c r="I73" s="1"/>
      <c r="J73" s="1"/>
      <c r="K73" s="1"/>
    </row>
    <row r="74" spans="1:11" ht="15.75" customHeight="1">
      <c r="A74" s="1"/>
      <c r="B74" s="1"/>
      <c r="C74" s="40"/>
      <c r="D74" s="1"/>
      <c r="E74" s="1"/>
      <c r="F74" s="1"/>
      <c r="G74" s="1"/>
      <c r="H74" s="1"/>
      <c r="I74" s="1"/>
      <c r="J74" s="1"/>
      <c r="K74" s="1"/>
    </row>
    <row r="75" spans="1:11" ht="15.75" customHeight="1">
      <c r="A75" s="1"/>
      <c r="B75" s="1"/>
      <c r="C75" s="40"/>
      <c r="D75" s="1"/>
      <c r="E75" s="1"/>
      <c r="F75" s="1"/>
      <c r="G75" s="1"/>
      <c r="H75" s="1"/>
      <c r="I75" s="1"/>
      <c r="J75" s="1"/>
      <c r="K75" s="1"/>
    </row>
    <row r="76" spans="1:11" ht="15.75" customHeight="1">
      <c r="A76" s="1"/>
      <c r="B76" s="1"/>
      <c r="C76" s="40"/>
      <c r="D76" s="1"/>
      <c r="E76" s="1"/>
      <c r="F76" s="1"/>
      <c r="G76" s="1"/>
      <c r="H76" s="1"/>
      <c r="I76" s="1"/>
      <c r="J76" s="1"/>
      <c r="K76" s="1"/>
    </row>
    <row r="77" spans="1:11" ht="15.75" customHeight="1">
      <c r="A77" s="1"/>
      <c r="B77" s="1"/>
      <c r="C77" s="40"/>
      <c r="D77" s="1"/>
      <c r="E77" s="1"/>
      <c r="F77" s="1"/>
      <c r="G77" s="1"/>
      <c r="H77" s="1"/>
      <c r="I77" s="1"/>
      <c r="J77" s="1"/>
      <c r="K77" s="1"/>
    </row>
    <row r="78" spans="1:11" ht="15.75" customHeight="1">
      <c r="A78" s="1"/>
      <c r="B78" s="1"/>
      <c r="C78" s="40"/>
      <c r="D78" s="1"/>
      <c r="E78" s="1"/>
      <c r="F78" s="1"/>
      <c r="G78" s="1"/>
      <c r="H78" s="1"/>
      <c r="I78" s="1"/>
      <c r="J78" s="1"/>
      <c r="K78" s="1"/>
    </row>
    <row r="79" spans="1:11" ht="15.75" customHeight="1">
      <c r="A79" s="1"/>
      <c r="B79" s="1"/>
      <c r="C79" s="40"/>
      <c r="D79" s="1"/>
      <c r="E79" s="1"/>
      <c r="F79" s="1"/>
      <c r="G79" s="1"/>
      <c r="H79" s="1"/>
      <c r="I79" s="1"/>
      <c r="J79" s="1"/>
      <c r="K79" s="1"/>
    </row>
    <row r="80" spans="1:11" ht="15.75" customHeight="1">
      <c r="A80" s="1"/>
      <c r="B80" s="1"/>
      <c r="C80" s="40"/>
      <c r="D80" s="1"/>
      <c r="E80" s="1"/>
      <c r="F80" s="1"/>
      <c r="G80" s="1"/>
      <c r="H80" s="1"/>
      <c r="I80" s="1"/>
      <c r="J80" s="1"/>
      <c r="K80" s="1"/>
    </row>
    <row r="81" spans="1:11" ht="15.75" customHeight="1">
      <c r="A81" s="1"/>
      <c r="B81" s="1"/>
      <c r="C81" s="40"/>
      <c r="D81" s="1"/>
      <c r="E81" s="1"/>
      <c r="F81" s="1"/>
      <c r="G81" s="1"/>
      <c r="H81" s="1"/>
      <c r="I81" s="1"/>
      <c r="J81" s="1"/>
      <c r="K81" s="1"/>
    </row>
    <row r="82" spans="1:11" ht="15.75" customHeight="1">
      <c r="A82" s="1"/>
      <c r="B82" s="1"/>
      <c r="C82" s="40"/>
      <c r="D82" s="1"/>
      <c r="E82" s="1"/>
      <c r="F82" s="1"/>
      <c r="G82" s="1"/>
      <c r="H82" s="1"/>
      <c r="I82" s="1"/>
      <c r="J82" s="1"/>
      <c r="K82" s="1"/>
    </row>
    <row r="83" spans="1:11" ht="15.75" customHeight="1">
      <c r="A83" s="1"/>
      <c r="B83" s="1"/>
      <c r="C83" s="40"/>
      <c r="D83" s="1"/>
      <c r="E83" s="1"/>
      <c r="F83" s="1"/>
      <c r="G83" s="1"/>
      <c r="H83" s="1"/>
      <c r="I83" s="1"/>
      <c r="J83" s="1"/>
      <c r="K83" s="1"/>
    </row>
    <row r="84" spans="1:11" ht="15.75" customHeight="1">
      <c r="A84" s="1"/>
      <c r="B84" s="1"/>
      <c r="C84" s="40"/>
      <c r="D84" s="1"/>
      <c r="E84" s="1"/>
      <c r="F84" s="1"/>
      <c r="G84" s="1"/>
      <c r="H84" s="1"/>
      <c r="I84" s="1"/>
      <c r="J84" s="1"/>
      <c r="K84" s="1"/>
    </row>
    <row r="85" spans="1:11" ht="15.75" customHeight="1">
      <c r="A85" s="1"/>
      <c r="B85" s="1"/>
      <c r="C85" s="40"/>
      <c r="D85" s="1"/>
      <c r="E85" s="1"/>
      <c r="F85" s="1"/>
      <c r="G85" s="1"/>
      <c r="H85" s="1"/>
      <c r="I85" s="1"/>
      <c r="J85" s="1"/>
      <c r="K85" s="1"/>
    </row>
    <row r="86" spans="1:11" ht="15.75" customHeight="1">
      <c r="A86" s="1"/>
      <c r="B86" s="1"/>
      <c r="C86" s="40"/>
      <c r="D86" s="1"/>
      <c r="E86" s="1"/>
      <c r="F86" s="1"/>
      <c r="G86" s="1"/>
      <c r="H86" s="1"/>
      <c r="I86" s="1"/>
      <c r="J86" s="1"/>
      <c r="K86" s="1"/>
    </row>
    <row r="87" spans="1:11" ht="15.75" customHeight="1">
      <c r="A87" s="1"/>
      <c r="B87" s="1"/>
      <c r="C87" s="40"/>
      <c r="D87" s="1"/>
      <c r="E87" s="1"/>
      <c r="F87" s="1"/>
      <c r="G87" s="1"/>
      <c r="H87" s="1"/>
      <c r="I87" s="1"/>
      <c r="J87" s="1"/>
      <c r="K87" s="1"/>
    </row>
    <row r="88" spans="1:11" ht="15.75" customHeight="1">
      <c r="A88" s="1"/>
      <c r="B88" s="1"/>
      <c r="C88" s="40"/>
      <c r="D88" s="1"/>
      <c r="E88" s="1"/>
      <c r="F88" s="1"/>
      <c r="G88" s="1"/>
      <c r="H88" s="1"/>
      <c r="I88" s="1"/>
      <c r="J88" s="1"/>
      <c r="K88" s="1"/>
    </row>
    <row r="89" spans="1:11" ht="15.75" customHeight="1">
      <c r="A89" s="1"/>
      <c r="B89" s="1"/>
      <c r="C89" s="40"/>
      <c r="D89" s="1"/>
      <c r="E89" s="1"/>
      <c r="F89" s="1"/>
      <c r="G89" s="1"/>
      <c r="H89" s="1"/>
      <c r="I89" s="1"/>
      <c r="J89" s="1"/>
      <c r="K89" s="1"/>
    </row>
    <row r="90" spans="1:11" ht="15.75" customHeight="1">
      <c r="A90" s="1"/>
      <c r="B90" s="1"/>
      <c r="C90" s="40"/>
      <c r="D90" s="1"/>
      <c r="E90" s="1"/>
      <c r="F90" s="1"/>
      <c r="G90" s="1"/>
      <c r="H90" s="1"/>
      <c r="I90" s="1"/>
      <c r="J90" s="1"/>
      <c r="K90" s="1"/>
    </row>
    <row r="91" spans="1:11" ht="15.75" customHeight="1">
      <c r="A91" s="1"/>
      <c r="B91" s="1"/>
      <c r="C91" s="40"/>
      <c r="D91" s="1"/>
      <c r="E91" s="1"/>
      <c r="F91" s="1"/>
      <c r="G91" s="1"/>
      <c r="H91" s="1"/>
      <c r="I91" s="1"/>
      <c r="J91" s="1"/>
      <c r="K91" s="1"/>
    </row>
    <row r="92" spans="1:11" ht="15.75" customHeight="1">
      <c r="A92" s="1"/>
      <c r="B92" s="1"/>
      <c r="C92" s="40"/>
      <c r="D92" s="1"/>
      <c r="E92" s="1"/>
      <c r="F92" s="1"/>
      <c r="G92" s="1"/>
      <c r="H92" s="1"/>
      <c r="I92" s="1"/>
      <c r="J92" s="1"/>
      <c r="K92" s="1"/>
    </row>
    <row r="93" spans="1:11" ht="15.75" customHeight="1">
      <c r="A93" s="1"/>
      <c r="B93" s="1"/>
      <c r="C93" s="40"/>
      <c r="D93" s="1"/>
      <c r="E93" s="1"/>
      <c r="F93" s="1"/>
      <c r="G93" s="1"/>
      <c r="H93" s="1"/>
      <c r="I93" s="1"/>
      <c r="J93" s="1"/>
      <c r="K93" s="1"/>
    </row>
    <row r="94" spans="1:11" ht="15.75" customHeight="1">
      <c r="A94" s="1"/>
      <c r="B94" s="1"/>
      <c r="C94" s="40"/>
      <c r="D94" s="1"/>
      <c r="E94" s="1"/>
      <c r="F94" s="1"/>
      <c r="G94" s="1"/>
      <c r="H94" s="1"/>
      <c r="I94" s="1"/>
      <c r="J94" s="1"/>
      <c r="K94" s="1"/>
    </row>
    <row r="95" spans="1:11" ht="15.75" customHeight="1">
      <c r="A95" s="1"/>
      <c r="B95" s="1"/>
      <c r="C95" s="40"/>
      <c r="D95" s="1"/>
      <c r="E95" s="1"/>
      <c r="F95" s="1"/>
      <c r="G95" s="1"/>
      <c r="H95" s="1"/>
      <c r="I95" s="1"/>
      <c r="J95" s="1"/>
      <c r="K95" s="1"/>
    </row>
    <row r="96" spans="1:11" ht="15.75" customHeight="1">
      <c r="A96" s="1"/>
      <c r="B96" s="1"/>
      <c r="C96" s="40"/>
      <c r="D96" s="1"/>
      <c r="E96" s="1"/>
      <c r="F96" s="1"/>
      <c r="G96" s="1"/>
      <c r="H96" s="1"/>
      <c r="I96" s="1"/>
      <c r="J96" s="1"/>
      <c r="K96" s="1"/>
    </row>
    <row r="97" spans="1:11" ht="15.75" customHeight="1">
      <c r="A97" s="1"/>
      <c r="B97" s="1"/>
      <c r="C97" s="40"/>
      <c r="D97" s="1"/>
      <c r="E97" s="1"/>
      <c r="F97" s="1"/>
      <c r="G97" s="1"/>
      <c r="H97" s="1"/>
      <c r="I97" s="1"/>
      <c r="J97" s="1"/>
      <c r="K97" s="1"/>
    </row>
    <row r="98" spans="1:11" ht="15.75" customHeight="1">
      <c r="A98" s="1"/>
      <c r="B98" s="1"/>
      <c r="C98" s="40"/>
      <c r="D98" s="1"/>
      <c r="E98" s="1"/>
      <c r="F98" s="1"/>
      <c r="G98" s="1"/>
      <c r="H98" s="1"/>
      <c r="I98" s="1"/>
      <c r="J98" s="1"/>
      <c r="K98" s="1"/>
    </row>
    <row r="99" spans="1:11" ht="15.75" customHeight="1">
      <c r="A99" s="1"/>
      <c r="B99" s="1"/>
      <c r="C99" s="40"/>
      <c r="D99" s="1"/>
      <c r="E99" s="1"/>
      <c r="F99" s="1"/>
      <c r="G99" s="1"/>
      <c r="H99" s="1"/>
      <c r="I99" s="1"/>
      <c r="J99" s="1"/>
      <c r="K99" s="1"/>
    </row>
    <row r="100" spans="1:11" ht="15.75" customHeight="1">
      <c r="A100" s="1"/>
      <c r="B100" s="1"/>
      <c r="C100" s="40"/>
      <c r="D100" s="1"/>
      <c r="E100" s="1"/>
      <c r="F100" s="1"/>
      <c r="G100" s="1"/>
      <c r="H100" s="1"/>
      <c r="I100" s="1"/>
      <c r="J100" s="1"/>
      <c r="K100" s="1"/>
    </row>
  </sheetData>
  <autoFilter ref="A1:B61"/>
  <pageMargins left="0.511811024" right="0.511811024" top="0.78740157499999996" bottom="0.78740157499999996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workbookViewId="0">
      <selection activeCell="B14" sqref="B14"/>
    </sheetView>
  </sheetViews>
  <sheetFormatPr defaultColWidth="14.42578125" defaultRowHeight="15" customHeight="1"/>
  <cols>
    <col min="1" max="1" width="10.7109375" customWidth="1"/>
    <col min="2" max="2" width="27.42578125" customWidth="1"/>
    <col min="3" max="3" width="17.5703125" customWidth="1"/>
    <col min="4" max="4" width="34.85546875" customWidth="1"/>
    <col min="5" max="11" width="9.2851562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41" t="s">
        <v>0</v>
      </c>
      <c r="B2" s="41" t="s">
        <v>40</v>
      </c>
      <c r="C2" s="5" t="s">
        <v>19</v>
      </c>
      <c r="D2" s="41" t="s">
        <v>41</v>
      </c>
      <c r="E2" s="1"/>
      <c r="F2" s="1"/>
      <c r="G2" s="1"/>
      <c r="H2" s="1"/>
      <c r="I2" s="1"/>
      <c r="J2" s="1"/>
      <c r="K2" s="1"/>
    </row>
    <row r="3" spans="1:11">
      <c r="A3" s="51">
        <v>2021</v>
      </c>
      <c r="B3" s="42">
        <f>21+13.125</f>
        <v>34.125</v>
      </c>
      <c r="C3" s="16">
        <f>AVERAGE('Dados gerais'!E3:E14)</f>
        <v>207.75</v>
      </c>
      <c r="D3" s="43">
        <f>B3/C3</f>
        <v>0.16425992779783394</v>
      </c>
      <c r="E3" s="1"/>
      <c r="F3" s="1"/>
      <c r="G3" s="1"/>
      <c r="H3" s="1"/>
      <c r="I3" s="1"/>
      <c r="J3" s="1"/>
      <c r="K3" s="1"/>
    </row>
    <row r="4" spans="1:11">
      <c r="A4" s="51">
        <v>2022</v>
      </c>
      <c r="B4" s="42">
        <f>31.5+43.75</f>
        <v>75.25</v>
      </c>
      <c r="C4" s="16">
        <f>AVERAGE('Dados gerais'!K3:K13)</f>
        <v>228.18181818181819</v>
      </c>
      <c r="D4" s="43">
        <f>B4/C4</f>
        <v>0.32978087649402388</v>
      </c>
      <c r="E4" s="1"/>
      <c r="F4" s="1"/>
      <c r="G4" s="1"/>
      <c r="H4" s="1"/>
      <c r="I4" s="1"/>
      <c r="J4" s="1"/>
      <c r="K4" s="1"/>
    </row>
    <row r="5" spans="1:11">
      <c r="A5" s="51">
        <v>2023</v>
      </c>
      <c r="B5" s="27">
        <f>3.5+7+13.125+13.125</f>
        <v>36.75</v>
      </c>
      <c r="C5" s="16">
        <f>AVERAGE('Dados gerais'!Q3:Q14)</f>
        <v>241</v>
      </c>
      <c r="D5" s="43">
        <f>B5/C5</f>
        <v>0.15248962655601661</v>
      </c>
      <c r="E5" s="1"/>
      <c r="F5" s="1"/>
      <c r="G5" s="1"/>
      <c r="H5" s="1"/>
      <c r="I5" s="1"/>
      <c r="J5" s="1"/>
      <c r="K5" s="1"/>
    </row>
    <row r="6" spans="1:11">
      <c r="A6" s="51">
        <v>2024</v>
      </c>
      <c r="B6" s="13">
        <v>3.5</v>
      </c>
      <c r="C6" s="16">
        <f>AVERAGE('Dados gerais'!W3:W17)</f>
        <v>477.84615384615387</v>
      </c>
      <c r="D6" s="43">
        <f>B6/C6</f>
        <v>7.3245331616226652E-3</v>
      </c>
      <c r="E6" s="1"/>
      <c r="F6" s="1"/>
      <c r="G6" s="1"/>
      <c r="H6" s="1"/>
      <c r="I6" s="1"/>
      <c r="J6" s="1"/>
      <c r="K6" s="1"/>
    </row>
    <row r="7" spans="1:11">
      <c r="A7" s="51">
        <v>2025</v>
      </c>
      <c r="B7" s="13"/>
      <c r="C7" s="16">
        <f>AVERAGE('Dados gerais'!AC3:AC14)</f>
        <v>291.66666666666669</v>
      </c>
      <c r="D7" s="13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autoFilter ref="A2:B6"/>
  <pageMargins left="0.511811024" right="0.511811024" top="0.78740157499999996" bottom="0.78740157499999996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showGridLines="0" workbookViewId="0">
      <pane ySplit="1" topLeftCell="A2" activePane="bottomLeft" state="frozen"/>
      <selection pane="bottomLeft" activeCell="C3" sqref="C3:C24"/>
    </sheetView>
  </sheetViews>
  <sheetFormatPr defaultColWidth="14.42578125" defaultRowHeight="15" customHeight="1"/>
  <cols>
    <col min="1" max="1" width="7.85546875" customWidth="1"/>
    <col min="2" max="2" width="15.42578125" customWidth="1"/>
    <col min="3" max="3" width="21.85546875" customWidth="1"/>
    <col min="4" max="4" width="17.5703125" customWidth="1"/>
    <col min="5" max="5" width="40.7109375" customWidth="1"/>
    <col min="6" max="11" width="8.7109375" customWidth="1"/>
  </cols>
  <sheetData>
    <row r="1" spans="1:5">
      <c r="A1" s="1"/>
      <c r="B1" s="1"/>
      <c r="C1" s="1"/>
      <c r="D1" s="1"/>
      <c r="E1" s="1"/>
    </row>
    <row r="2" spans="1:5">
      <c r="A2" s="5" t="s">
        <v>0</v>
      </c>
      <c r="B2" s="5" t="s">
        <v>2</v>
      </c>
      <c r="C2" s="5" t="s">
        <v>42</v>
      </c>
      <c r="D2" s="5" t="s">
        <v>19</v>
      </c>
      <c r="E2" s="5" t="s">
        <v>43</v>
      </c>
    </row>
    <row r="3" spans="1:5">
      <c r="A3" s="13">
        <v>2023</v>
      </c>
      <c r="B3" s="14">
        <f>'Dados gerais'!N12</f>
        <v>45200</v>
      </c>
      <c r="C3" s="44">
        <v>197.23</v>
      </c>
      <c r="D3" s="13">
        <f>'Dados gerais'!Q12</f>
        <v>247</v>
      </c>
      <c r="E3" s="27">
        <f t="shared" ref="E3:E24" si="0">C3/D3</f>
        <v>0.79850202429149797</v>
      </c>
    </row>
    <row r="4" spans="1:5">
      <c r="A4" s="13">
        <v>2023</v>
      </c>
      <c r="B4" s="14">
        <f>'Dados gerais'!N13</f>
        <v>45231</v>
      </c>
      <c r="C4" s="44">
        <v>453.16</v>
      </c>
      <c r="D4" s="13">
        <f>'Dados gerais'!Q13</f>
        <v>246</v>
      </c>
      <c r="E4" s="27">
        <f t="shared" si="0"/>
        <v>1.8421138211382115</v>
      </c>
    </row>
    <row r="5" spans="1:5">
      <c r="A5" s="13">
        <v>2023</v>
      </c>
      <c r="B5" s="14">
        <f>'Dados gerais'!N14</f>
        <v>45261</v>
      </c>
      <c r="C5" s="44">
        <v>501.3</v>
      </c>
      <c r="D5" s="13">
        <f>'Dados gerais'!Q14</f>
        <v>243</v>
      </c>
      <c r="E5" s="27">
        <f t="shared" si="0"/>
        <v>2.0629629629629629</v>
      </c>
    </row>
    <row r="6" spans="1:5">
      <c r="A6" s="13">
        <v>2024</v>
      </c>
      <c r="B6" s="14">
        <f>'Dados gerais'!T3</f>
        <v>45292</v>
      </c>
      <c r="C6" s="44">
        <v>545.47</v>
      </c>
      <c r="D6" s="13">
        <f>'Dados gerais'!W3</f>
        <v>250</v>
      </c>
      <c r="E6" s="27">
        <f t="shared" si="0"/>
        <v>2.18188</v>
      </c>
    </row>
    <row r="7" spans="1:5">
      <c r="A7" s="13">
        <v>2024</v>
      </c>
      <c r="B7" s="14">
        <f>'Dados gerais'!T4</f>
        <v>45323</v>
      </c>
      <c r="C7" s="44">
        <v>521.78</v>
      </c>
      <c r="D7" s="13">
        <f>'Dados gerais'!W4</f>
        <v>249</v>
      </c>
      <c r="E7" s="27">
        <f t="shared" si="0"/>
        <v>2.0955020080321285</v>
      </c>
    </row>
    <row r="8" spans="1:5">
      <c r="A8" s="13">
        <v>2024</v>
      </c>
      <c r="B8" s="14">
        <f>'Dados gerais'!T5</f>
        <v>45352</v>
      </c>
      <c r="C8" s="44">
        <v>625.65</v>
      </c>
      <c r="D8" s="13">
        <f>'Dados gerais'!W5</f>
        <v>250</v>
      </c>
      <c r="E8" s="27">
        <f t="shared" si="0"/>
        <v>2.5025999999999997</v>
      </c>
    </row>
    <row r="9" spans="1:5">
      <c r="A9" s="13">
        <v>2024</v>
      </c>
      <c r="B9" s="14">
        <f>'Dados gerais'!T6</f>
        <v>45383</v>
      </c>
      <c r="C9" s="44">
        <v>633.78</v>
      </c>
      <c r="D9" s="13">
        <f>'Dados gerais'!W6</f>
        <v>259</v>
      </c>
      <c r="E9" s="27">
        <f t="shared" si="0"/>
        <v>2.4470270270270271</v>
      </c>
    </row>
    <row r="10" spans="1:5">
      <c r="A10" s="13">
        <v>2024</v>
      </c>
      <c r="B10" s="14">
        <f>'Dados gerais'!T7</f>
        <v>45413</v>
      </c>
      <c r="C10" s="44">
        <v>557.64</v>
      </c>
      <c r="D10" s="13">
        <f>'Dados gerais'!W7</f>
        <v>257</v>
      </c>
      <c r="E10" s="27">
        <f t="shared" si="0"/>
        <v>2.1698054474708171</v>
      </c>
    </row>
    <row r="11" spans="1:5">
      <c r="A11" s="13">
        <v>2024</v>
      </c>
      <c r="B11" s="14">
        <f>'Dados gerais'!T8</f>
        <v>45444</v>
      </c>
      <c r="C11" s="44">
        <v>557.64</v>
      </c>
      <c r="D11" s="13">
        <f>'Dados gerais'!W8</f>
        <v>255</v>
      </c>
      <c r="E11" s="27">
        <f t="shared" si="0"/>
        <v>2.1868235294117646</v>
      </c>
    </row>
    <row r="12" spans="1:5">
      <c r="A12" s="13">
        <v>2024</v>
      </c>
      <c r="B12" s="14">
        <f>'Dados gerais'!T9</f>
        <v>45474</v>
      </c>
      <c r="C12" s="44">
        <v>557.64</v>
      </c>
      <c r="D12" s="13">
        <f>'Dados gerais'!W9</f>
        <v>262</v>
      </c>
      <c r="E12" s="27">
        <f t="shared" si="0"/>
        <v>2.1283969465648855</v>
      </c>
    </row>
    <row r="13" spans="1:5">
      <c r="A13" s="13">
        <v>2024</v>
      </c>
      <c r="B13" s="14">
        <f>'Dados gerais'!T10</f>
        <v>45505</v>
      </c>
      <c r="C13" s="44">
        <v>604.58000000000004</v>
      </c>
      <c r="D13" s="13">
        <f>'Dados gerais'!W10</f>
        <v>258</v>
      </c>
      <c r="E13" s="27">
        <f t="shared" si="0"/>
        <v>2.3433333333333337</v>
      </c>
    </row>
    <row r="14" spans="1:5">
      <c r="A14" s="13">
        <v>2024</v>
      </c>
      <c r="B14" s="14">
        <f>'Dados gerais'!T11</f>
        <v>45536</v>
      </c>
      <c r="C14" s="44">
        <v>624.01</v>
      </c>
      <c r="D14" s="13">
        <f>'Dados gerais'!W11</f>
        <v>258</v>
      </c>
      <c r="E14" s="27">
        <f t="shared" si="0"/>
        <v>2.4186434108527131</v>
      </c>
    </row>
    <row r="15" spans="1:5">
      <c r="A15" s="13">
        <v>2024</v>
      </c>
      <c r="B15" s="14">
        <f>'Dados gerais'!T12</f>
        <v>45566</v>
      </c>
      <c r="C15" s="44">
        <v>590.5</v>
      </c>
      <c r="D15" s="13">
        <f>'Dados gerais'!W12</f>
        <v>264</v>
      </c>
      <c r="E15" s="27">
        <f t="shared" si="0"/>
        <v>2.2367424242424243</v>
      </c>
    </row>
    <row r="16" spans="1:5">
      <c r="A16" s="13">
        <v>2024</v>
      </c>
      <c r="B16" s="14">
        <f>'Dados gerais'!T13</f>
        <v>45597</v>
      </c>
      <c r="C16" s="44">
        <v>448.5</v>
      </c>
      <c r="D16" s="13">
        <f>'Dados gerais'!W13</f>
        <v>266</v>
      </c>
      <c r="E16" s="27">
        <f t="shared" si="0"/>
        <v>1.6860902255639099</v>
      </c>
    </row>
    <row r="17" spans="1:5">
      <c r="A17" s="13">
        <v>2024</v>
      </c>
      <c r="B17" s="14">
        <f>'Dados gerais'!T14</f>
        <v>45627</v>
      </c>
      <c r="C17" s="44">
        <v>491.66</v>
      </c>
      <c r="D17" s="13">
        <f>'Dados gerais'!W14</f>
        <v>278</v>
      </c>
      <c r="E17" s="27">
        <f t="shared" si="0"/>
        <v>1.7685611510791368</v>
      </c>
    </row>
    <row r="18" spans="1:5">
      <c r="A18" s="13">
        <v>2025</v>
      </c>
      <c r="B18" s="14">
        <f>'Dados gerais'!Z3</f>
        <v>45658</v>
      </c>
      <c r="C18" s="44">
        <v>607.70000000000005</v>
      </c>
      <c r="D18" s="13">
        <f>'Dados gerais'!AC3</f>
        <v>287</v>
      </c>
      <c r="E18" s="27">
        <f t="shared" si="0"/>
        <v>2.1174216027874566</v>
      </c>
    </row>
    <row r="19" spans="1:5">
      <c r="A19" s="13">
        <v>2025</v>
      </c>
      <c r="B19" s="14">
        <f>'Dados gerais'!Z4</f>
        <v>45689</v>
      </c>
      <c r="C19" s="44">
        <v>559.35</v>
      </c>
      <c r="D19" s="13">
        <f>'Dados gerais'!AC4</f>
        <v>294</v>
      </c>
      <c r="E19" s="27">
        <f t="shared" si="0"/>
        <v>1.9025510204081633</v>
      </c>
    </row>
    <row r="20" spans="1:5">
      <c r="A20" s="13">
        <v>2025</v>
      </c>
      <c r="B20" s="14">
        <f>'Dados gerais'!Z5</f>
        <v>45717</v>
      </c>
      <c r="C20" s="13">
        <v>489.63</v>
      </c>
      <c r="D20" s="13">
        <f>'Dados gerais'!AC5</f>
        <v>294</v>
      </c>
      <c r="E20" s="27">
        <f t="shared" si="0"/>
        <v>1.6654081632653062</v>
      </c>
    </row>
    <row r="21" spans="1:5" ht="15.75" customHeight="1">
      <c r="A21" s="13">
        <v>2025</v>
      </c>
      <c r="B21" s="14">
        <f>'Dados gerais'!Z6</f>
        <v>45748</v>
      </c>
      <c r="C21" s="13">
        <v>618.71</v>
      </c>
      <c r="D21" s="13">
        <f>'Dados gerais'!AC6</f>
        <v>0</v>
      </c>
      <c r="E21" s="27" t="e">
        <f t="shared" si="0"/>
        <v>#DIV/0!</v>
      </c>
    </row>
    <row r="22" spans="1:5" ht="15.75" customHeight="1">
      <c r="A22" s="13">
        <v>2025</v>
      </c>
      <c r="B22" s="14">
        <f>'Dados gerais'!Z7</f>
        <v>45778</v>
      </c>
      <c r="C22" s="13">
        <v>544.38</v>
      </c>
      <c r="D22" s="13">
        <f>'Dados gerais'!AC7</f>
        <v>0</v>
      </c>
      <c r="E22" s="27" t="e">
        <f t="shared" si="0"/>
        <v>#DIV/0!</v>
      </c>
    </row>
    <row r="23" spans="1:5" ht="15.75" customHeight="1">
      <c r="A23" s="18">
        <v>2025</v>
      </c>
      <c r="B23" s="17">
        <f>'Dados gerais'!Z8</f>
        <v>45809</v>
      </c>
      <c r="C23" s="18">
        <v>498.25</v>
      </c>
      <c r="D23" s="18">
        <f>'Dados gerais'!AC8</f>
        <v>0</v>
      </c>
      <c r="E23" s="18" t="e">
        <f t="shared" si="0"/>
        <v>#DIV/0!</v>
      </c>
    </row>
    <row r="24" spans="1:5" ht="15.75" customHeight="1">
      <c r="A24" s="18">
        <v>2025</v>
      </c>
      <c r="B24" s="17">
        <f>'Dados gerais'!Z9</f>
        <v>45839</v>
      </c>
      <c r="C24" s="18">
        <v>433.43</v>
      </c>
      <c r="D24" s="18">
        <f>'Dados gerais'!AC9</f>
        <v>0</v>
      </c>
      <c r="E24" s="18" t="e">
        <f t="shared" si="0"/>
        <v>#DIV/0!</v>
      </c>
    </row>
    <row r="25" spans="1:5" ht="15.75" customHeight="1">
      <c r="A25" s="13">
        <v>2025</v>
      </c>
      <c r="B25" s="14">
        <f>'Dados gerais'!Z10</f>
        <v>45870</v>
      </c>
      <c r="C25" s="13"/>
      <c r="D25" s="13">
        <f>'Dados gerais'!AC10</f>
        <v>0</v>
      </c>
      <c r="E25" s="13"/>
    </row>
    <row r="26" spans="1:5" ht="15.75" customHeight="1">
      <c r="A26" s="13">
        <v>2025</v>
      </c>
      <c r="B26" s="14">
        <f>'Dados gerais'!Z11</f>
        <v>45901</v>
      </c>
      <c r="C26" s="13"/>
      <c r="D26" s="13">
        <f>'Dados gerais'!AC11</f>
        <v>0</v>
      </c>
      <c r="E26" s="13"/>
    </row>
    <row r="27" spans="1:5" ht="15.75" customHeight="1">
      <c r="A27" s="13">
        <v>2025</v>
      </c>
      <c r="B27" s="14">
        <f>'Dados gerais'!Z12</f>
        <v>45931</v>
      </c>
      <c r="C27" s="13"/>
      <c r="D27" s="13">
        <f>'Dados gerais'!AC12</f>
        <v>0</v>
      </c>
      <c r="E27" s="13"/>
    </row>
    <row r="28" spans="1:5" ht="15.75" customHeight="1">
      <c r="A28" s="13">
        <v>2025</v>
      </c>
      <c r="B28" s="14">
        <f>'Dados gerais'!Z13</f>
        <v>45962</v>
      </c>
      <c r="C28" s="13"/>
      <c r="D28" s="13">
        <f>'Dados gerais'!AC13</f>
        <v>0</v>
      </c>
      <c r="E28" s="13"/>
    </row>
    <row r="29" spans="1:5" ht="15.75" customHeight="1">
      <c r="A29" s="13">
        <v>2025</v>
      </c>
      <c r="B29" s="14">
        <f>'Dados gerais'!Z14</f>
        <v>45992</v>
      </c>
      <c r="C29" s="13"/>
      <c r="D29" s="13">
        <f>'Dados gerais'!AC14</f>
        <v>0</v>
      </c>
      <c r="E29" s="13"/>
    </row>
    <row r="30" spans="1:5" ht="15.75" customHeight="1">
      <c r="A30" s="1"/>
      <c r="B30" s="1"/>
      <c r="C30" s="1"/>
      <c r="D30" s="1"/>
      <c r="E30" s="1"/>
    </row>
    <row r="31" spans="1:5" ht="15.75" customHeight="1">
      <c r="A31" s="1"/>
      <c r="B31" s="1"/>
      <c r="C31" s="1"/>
      <c r="D31" s="1"/>
      <c r="E31" s="1"/>
    </row>
    <row r="32" spans="1:5" ht="15.75" customHeight="1">
      <c r="A32" s="1"/>
      <c r="B32" s="1"/>
      <c r="C32" s="1"/>
      <c r="D32" s="1"/>
      <c r="E32" s="1"/>
    </row>
    <row r="33" spans="1:5" ht="15.75" customHeight="1">
      <c r="A33" s="1"/>
      <c r="B33" s="1"/>
      <c r="C33" s="1"/>
      <c r="D33" s="1"/>
      <c r="E33" s="1"/>
    </row>
    <row r="34" spans="1:5" ht="15.75" customHeight="1">
      <c r="A34" s="1"/>
      <c r="B34" s="1"/>
      <c r="C34" s="1"/>
      <c r="D34" s="1"/>
      <c r="E34" s="1"/>
    </row>
    <row r="35" spans="1:5" ht="15.75" customHeight="1">
      <c r="A35" s="1"/>
      <c r="B35" s="1"/>
      <c r="C35" s="1"/>
      <c r="D35" s="1"/>
      <c r="E35" s="1"/>
    </row>
    <row r="36" spans="1:5" ht="15.75" customHeight="1">
      <c r="A36" s="1"/>
      <c r="B36" s="1"/>
      <c r="C36" s="1"/>
      <c r="D36" s="1"/>
      <c r="E36" s="1"/>
    </row>
    <row r="37" spans="1:5" ht="15.75" customHeight="1">
      <c r="A37" s="1"/>
      <c r="B37" s="1"/>
      <c r="C37" s="1"/>
      <c r="D37" s="1"/>
      <c r="E37" s="1"/>
    </row>
    <row r="38" spans="1:5" ht="15.75" customHeight="1">
      <c r="A38" s="1"/>
      <c r="B38" s="1"/>
      <c r="C38" s="1"/>
      <c r="D38" s="1"/>
      <c r="E38" s="1"/>
    </row>
    <row r="39" spans="1:5" ht="15.75" customHeight="1">
      <c r="A39" s="1"/>
      <c r="B39" s="1"/>
      <c r="C39" s="1"/>
      <c r="D39" s="1"/>
      <c r="E39" s="1"/>
    </row>
    <row r="40" spans="1:5" ht="15.75" customHeight="1">
      <c r="A40" s="1"/>
      <c r="B40" s="1"/>
      <c r="C40" s="1"/>
      <c r="D40" s="1"/>
      <c r="E40" s="1"/>
    </row>
    <row r="41" spans="1:5" ht="15.75" customHeight="1">
      <c r="A41" s="1"/>
      <c r="B41" s="1"/>
      <c r="C41" s="1"/>
      <c r="D41" s="1"/>
      <c r="E41" s="1"/>
    </row>
    <row r="42" spans="1:5" ht="15.75" customHeight="1">
      <c r="A42" s="1"/>
      <c r="B42" s="1"/>
      <c r="C42" s="1"/>
      <c r="D42" s="1"/>
      <c r="E42" s="1"/>
    </row>
    <row r="43" spans="1:5" ht="15.75" customHeight="1">
      <c r="A43" s="1"/>
      <c r="B43" s="1"/>
      <c r="C43" s="1"/>
      <c r="D43" s="1"/>
      <c r="E43" s="1"/>
    </row>
    <row r="44" spans="1:5" ht="15.75" customHeight="1">
      <c r="A44" s="1"/>
      <c r="B44" s="1"/>
      <c r="C44" s="1"/>
      <c r="D44" s="1"/>
      <c r="E44" s="1"/>
    </row>
    <row r="45" spans="1:5" ht="15.75" customHeight="1">
      <c r="A45" s="1"/>
      <c r="B45" s="1"/>
      <c r="C45" s="1"/>
      <c r="D45" s="1"/>
      <c r="E45" s="1"/>
    </row>
    <row r="46" spans="1:5" ht="15.75" customHeight="1">
      <c r="A46" s="1"/>
      <c r="B46" s="1"/>
      <c r="C46" s="1"/>
      <c r="D46" s="1"/>
      <c r="E46" s="1"/>
    </row>
    <row r="47" spans="1:5" ht="15.75" customHeight="1">
      <c r="A47" s="1"/>
      <c r="B47" s="1"/>
      <c r="C47" s="1"/>
      <c r="D47" s="1"/>
      <c r="E47" s="1"/>
    </row>
    <row r="48" spans="1:5" ht="15.75" customHeight="1">
      <c r="A48" s="1"/>
      <c r="B48" s="1"/>
      <c r="C48" s="1"/>
      <c r="D48" s="1"/>
      <c r="E48" s="1"/>
    </row>
    <row r="49" spans="1:5" ht="15.75" customHeight="1">
      <c r="A49" s="1"/>
      <c r="B49" s="1"/>
      <c r="C49" s="1"/>
      <c r="D49" s="1"/>
      <c r="E49" s="1"/>
    </row>
    <row r="50" spans="1:5" ht="15.75" customHeight="1">
      <c r="A50" s="1"/>
      <c r="B50" s="1"/>
      <c r="C50" s="1"/>
      <c r="D50" s="1"/>
      <c r="E50" s="1"/>
    </row>
    <row r="51" spans="1:5" ht="15.75" customHeight="1">
      <c r="A51" s="1"/>
      <c r="B51" s="1"/>
      <c r="C51" s="1"/>
      <c r="D51" s="1"/>
      <c r="E51" s="1"/>
    </row>
    <row r="52" spans="1:5" ht="15.75" customHeight="1">
      <c r="A52" s="1"/>
      <c r="B52" s="1"/>
      <c r="C52" s="1"/>
      <c r="D52" s="1"/>
      <c r="E52" s="1"/>
    </row>
    <row r="53" spans="1:5" ht="15.75" customHeight="1">
      <c r="A53" s="1"/>
      <c r="B53" s="1"/>
      <c r="C53" s="1"/>
      <c r="D53" s="1"/>
      <c r="E53" s="1"/>
    </row>
    <row r="54" spans="1:5" ht="15.75" customHeight="1">
      <c r="A54" s="1"/>
      <c r="B54" s="1"/>
      <c r="C54" s="1"/>
      <c r="D54" s="1"/>
      <c r="E54" s="1"/>
    </row>
    <row r="55" spans="1:5" ht="15.75" customHeight="1">
      <c r="A55" s="1"/>
      <c r="B55" s="1"/>
      <c r="C55" s="1"/>
      <c r="D55" s="1"/>
      <c r="E55" s="1"/>
    </row>
    <row r="56" spans="1:5" ht="15.75" customHeight="1">
      <c r="A56" s="1"/>
      <c r="B56" s="1"/>
      <c r="C56" s="1"/>
      <c r="D56" s="1"/>
      <c r="E56" s="1"/>
    </row>
    <row r="57" spans="1:5" ht="15.75" customHeight="1">
      <c r="A57" s="1"/>
      <c r="B57" s="1"/>
      <c r="C57" s="1"/>
      <c r="D57" s="1"/>
      <c r="E57" s="1"/>
    </row>
    <row r="58" spans="1:5" ht="15.75" customHeight="1">
      <c r="A58" s="1"/>
      <c r="B58" s="1"/>
      <c r="C58" s="1"/>
      <c r="D58" s="1"/>
      <c r="E58" s="1"/>
    </row>
    <row r="59" spans="1:5" ht="15.75" customHeight="1">
      <c r="A59" s="1"/>
      <c r="B59" s="1"/>
      <c r="C59" s="1"/>
      <c r="D59" s="1"/>
      <c r="E59" s="1"/>
    </row>
    <row r="60" spans="1:5" ht="15.75" customHeight="1">
      <c r="A60" s="1"/>
      <c r="B60" s="1"/>
      <c r="C60" s="1"/>
      <c r="D60" s="1"/>
      <c r="E60" s="1"/>
    </row>
    <row r="61" spans="1:5" ht="15.75" customHeight="1">
      <c r="A61" s="1"/>
      <c r="B61" s="1"/>
      <c r="C61" s="1"/>
      <c r="D61" s="1"/>
      <c r="E61" s="1"/>
    </row>
    <row r="62" spans="1:5" ht="15.75" customHeight="1">
      <c r="A62" s="1"/>
      <c r="B62" s="1"/>
      <c r="C62" s="1"/>
      <c r="D62" s="1"/>
      <c r="E62" s="1"/>
    </row>
    <row r="63" spans="1:5" ht="15.75" customHeight="1">
      <c r="A63" s="1"/>
      <c r="B63" s="1"/>
      <c r="C63" s="1"/>
      <c r="D63" s="1"/>
      <c r="E63" s="1"/>
    </row>
    <row r="64" spans="1:5" ht="15.75" customHeight="1">
      <c r="A64" s="1"/>
      <c r="B64" s="1"/>
      <c r="C64" s="1"/>
      <c r="D64" s="1"/>
      <c r="E64" s="1"/>
    </row>
    <row r="65" spans="1:5" ht="15.75" customHeight="1">
      <c r="A65" s="1"/>
      <c r="B65" s="1"/>
      <c r="C65" s="1"/>
      <c r="D65" s="1"/>
      <c r="E65" s="1"/>
    </row>
    <row r="66" spans="1:5" ht="15.75" customHeight="1">
      <c r="A66" s="1"/>
      <c r="B66" s="1"/>
      <c r="C66" s="1"/>
      <c r="D66" s="1"/>
      <c r="E66" s="1"/>
    </row>
    <row r="67" spans="1:5" ht="15.75" customHeight="1">
      <c r="A67" s="1"/>
      <c r="B67" s="1"/>
      <c r="C67" s="1"/>
      <c r="D67" s="1"/>
      <c r="E67" s="1"/>
    </row>
    <row r="68" spans="1:5" ht="15.75" customHeight="1">
      <c r="A68" s="1"/>
      <c r="B68" s="1"/>
      <c r="C68" s="1"/>
      <c r="D68" s="1"/>
      <c r="E68" s="1"/>
    </row>
    <row r="69" spans="1:5" ht="15.75" customHeight="1">
      <c r="A69" s="1"/>
      <c r="B69" s="1"/>
      <c r="C69" s="1"/>
      <c r="D69" s="1"/>
      <c r="E69" s="1"/>
    </row>
    <row r="70" spans="1:5" ht="15.75" customHeight="1">
      <c r="A70" s="1"/>
      <c r="B70" s="1"/>
      <c r="C70" s="1"/>
      <c r="D70" s="1"/>
      <c r="E70" s="1"/>
    </row>
    <row r="71" spans="1:5" ht="15.75" customHeight="1">
      <c r="A71" s="1"/>
      <c r="B71" s="1"/>
      <c r="C71" s="1"/>
      <c r="D71" s="1"/>
      <c r="E71" s="1"/>
    </row>
    <row r="72" spans="1:5" ht="15.75" customHeight="1">
      <c r="A72" s="1"/>
      <c r="B72" s="1"/>
      <c r="C72" s="1"/>
      <c r="D72" s="1"/>
      <c r="E72" s="1"/>
    </row>
    <row r="73" spans="1:5" ht="15.75" customHeight="1">
      <c r="A73" s="1"/>
      <c r="B73" s="1"/>
      <c r="C73" s="1"/>
      <c r="D73" s="1"/>
      <c r="E73" s="1"/>
    </row>
    <row r="74" spans="1:5" ht="15.75" customHeight="1">
      <c r="A74" s="1"/>
      <c r="B74" s="1"/>
      <c r="C74" s="1"/>
      <c r="D74" s="1"/>
      <c r="E74" s="1"/>
    </row>
    <row r="75" spans="1:5" ht="15.75" customHeight="1">
      <c r="A75" s="1"/>
      <c r="B75" s="1"/>
      <c r="C75" s="1"/>
      <c r="D75" s="1"/>
      <c r="E75" s="1"/>
    </row>
    <row r="76" spans="1:5" ht="15.75" customHeight="1">
      <c r="A76" s="1"/>
      <c r="B76" s="1"/>
      <c r="C76" s="1"/>
      <c r="D76" s="1"/>
      <c r="E76" s="1"/>
    </row>
    <row r="77" spans="1:5" ht="15.75" customHeight="1">
      <c r="A77" s="1"/>
      <c r="B77" s="1"/>
      <c r="C77" s="1"/>
      <c r="D77" s="1"/>
      <c r="E77" s="1"/>
    </row>
    <row r="78" spans="1:5" ht="15.75" customHeight="1">
      <c r="A78" s="1"/>
      <c r="B78" s="1"/>
      <c r="C78" s="1"/>
      <c r="D78" s="1"/>
      <c r="E78" s="1"/>
    </row>
    <row r="79" spans="1:5" ht="15.75" customHeight="1">
      <c r="A79" s="1"/>
      <c r="B79" s="1"/>
      <c r="C79" s="1"/>
      <c r="D79" s="1"/>
      <c r="E79" s="1"/>
    </row>
    <row r="80" spans="1:5" ht="15.75" customHeight="1">
      <c r="A80" s="1"/>
      <c r="B80" s="1"/>
      <c r="C80" s="1"/>
      <c r="D80" s="1"/>
      <c r="E80" s="1"/>
    </row>
    <row r="81" spans="1:5" ht="15.75" customHeight="1">
      <c r="A81" s="1"/>
      <c r="B81" s="1"/>
      <c r="C81" s="1"/>
      <c r="D81" s="1"/>
      <c r="E81" s="1"/>
    </row>
    <row r="82" spans="1:5" ht="15.75" customHeight="1">
      <c r="A82" s="1"/>
      <c r="B82" s="1"/>
      <c r="C82" s="1"/>
      <c r="D82" s="1"/>
      <c r="E82" s="1"/>
    </row>
    <row r="83" spans="1:5" ht="15.75" customHeight="1">
      <c r="A83" s="1"/>
      <c r="B83" s="1"/>
      <c r="C83" s="1"/>
      <c r="D83" s="1"/>
      <c r="E83" s="1"/>
    </row>
    <row r="84" spans="1:5" ht="15.75" customHeight="1">
      <c r="A84" s="1"/>
      <c r="B84" s="1"/>
      <c r="C84" s="1"/>
      <c r="D84" s="1"/>
      <c r="E84" s="1"/>
    </row>
    <row r="85" spans="1:5" ht="15.75" customHeight="1">
      <c r="A85" s="1"/>
      <c r="B85" s="1"/>
      <c r="C85" s="1"/>
      <c r="D85" s="1"/>
      <c r="E85" s="1"/>
    </row>
    <row r="86" spans="1:5" ht="15.75" customHeight="1">
      <c r="A86" s="1"/>
      <c r="B86" s="1"/>
      <c r="C86" s="1"/>
      <c r="D86" s="1"/>
      <c r="E86" s="1"/>
    </row>
    <row r="87" spans="1:5" ht="15.75" customHeight="1">
      <c r="A87" s="1"/>
      <c r="B87" s="1"/>
      <c r="C87" s="1"/>
      <c r="D87" s="1"/>
      <c r="E87" s="1"/>
    </row>
    <row r="88" spans="1:5" ht="15.75" customHeight="1">
      <c r="A88" s="1"/>
      <c r="B88" s="1"/>
      <c r="C88" s="1"/>
      <c r="D88" s="1"/>
      <c r="E88" s="1"/>
    </row>
    <row r="89" spans="1:5" ht="15.75" customHeight="1">
      <c r="A89" s="1"/>
      <c r="B89" s="1"/>
      <c r="C89" s="1"/>
      <c r="D89" s="1"/>
      <c r="E89" s="1"/>
    </row>
    <row r="90" spans="1:5" ht="15.75" customHeight="1">
      <c r="A90" s="1"/>
      <c r="B90" s="1"/>
      <c r="C90" s="1"/>
      <c r="D90" s="1"/>
      <c r="E90" s="1"/>
    </row>
    <row r="91" spans="1:5" ht="15.75" customHeight="1">
      <c r="A91" s="1"/>
      <c r="B91" s="1"/>
      <c r="C91" s="1"/>
      <c r="D91" s="1"/>
      <c r="E91" s="1"/>
    </row>
    <row r="92" spans="1:5" ht="15.75" customHeight="1">
      <c r="A92" s="1"/>
      <c r="B92" s="1"/>
      <c r="C92" s="1"/>
      <c r="D92" s="1"/>
      <c r="E92" s="1"/>
    </row>
    <row r="93" spans="1:5" ht="15.75" customHeight="1">
      <c r="A93" s="1"/>
      <c r="B93" s="1"/>
      <c r="C93" s="1"/>
      <c r="D93" s="1"/>
      <c r="E93" s="1"/>
    </row>
    <row r="94" spans="1:5" ht="15.75" customHeight="1">
      <c r="A94" s="1"/>
      <c r="B94" s="1"/>
      <c r="C94" s="1"/>
      <c r="D94" s="1"/>
      <c r="E94" s="1"/>
    </row>
    <row r="95" spans="1:5" ht="15.75" customHeight="1">
      <c r="A95" s="1"/>
      <c r="B95" s="1"/>
      <c r="C95" s="1"/>
      <c r="D95" s="1"/>
      <c r="E95" s="1"/>
    </row>
    <row r="96" spans="1:5" ht="15.75" customHeight="1">
      <c r="A96" s="1"/>
      <c r="B96" s="1"/>
      <c r="C96" s="1"/>
      <c r="D96" s="1"/>
      <c r="E96" s="1"/>
    </row>
    <row r="97" spans="1:5" ht="15.75" customHeight="1">
      <c r="A97" s="1"/>
      <c r="B97" s="1"/>
      <c r="C97" s="1"/>
      <c r="D97" s="1"/>
      <c r="E97" s="1"/>
    </row>
    <row r="98" spans="1:5" ht="15.75" customHeight="1">
      <c r="A98" s="1"/>
      <c r="B98" s="1"/>
      <c r="C98" s="1"/>
      <c r="D98" s="1"/>
      <c r="E98" s="1"/>
    </row>
    <row r="99" spans="1:5" ht="15.75" customHeight="1">
      <c r="A99" s="1"/>
      <c r="B99" s="1"/>
      <c r="C99" s="1"/>
      <c r="D99" s="1"/>
      <c r="E99" s="1"/>
    </row>
    <row r="100" spans="1:5" ht="15.75" customHeight="1">
      <c r="A100" s="1"/>
      <c r="B100" s="1"/>
      <c r="C100" s="1"/>
      <c r="D100" s="1"/>
      <c r="E100" s="1"/>
    </row>
  </sheetData>
  <autoFilter ref="A2:E29"/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00"/>
  <sheetViews>
    <sheetView showGridLines="0" workbookViewId="0">
      <selection activeCell="C5" sqref="C5"/>
    </sheetView>
  </sheetViews>
  <sheetFormatPr defaultColWidth="14.42578125" defaultRowHeight="15" customHeight="1"/>
  <cols>
    <col min="1" max="1" width="17.85546875" customWidth="1"/>
    <col min="2" max="2" width="12.7109375" customWidth="1"/>
    <col min="3" max="3" width="32.7109375" customWidth="1"/>
    <col min="4" max="4" width="17.5703125" customWidth="1"/>
    <col min="5" max="5" width="8.7109375" customWidth="1"/>
    <col min="6" max="6" width="15.7109375" customWidth="1"/>
    <col min="7" max="8" width="8.7109375" customWidth="1"/>
    <col min="9" max="9" width="10.85546875" customWidth="1"/>
    <col min="10" max="11" width="8.7109375" customWidth="1"/>
  </cols>
  <sheetData>
    <row r="1" spans="1:9">
      <c r="A1" s="5" t="s">
        <v>0</v>
      </c>
      <c r="B1" s="5" t="s">
        <v>2</v>
      </c>
      <c r="C1" s="5" t="s">
        <v>44</v>
      </c>
      <c r="D1" s="5" t="s">
        <v>19</v>
      </c>
      <c r="E1" s="45" t="s">
        <v>45</v>
      </c>
      <c r="F1" s="45" t="s">
        <v>46</v>
      </c>
      <c r="G1" s="45" t="s">
        <v>47</v>
      </c>
      <c r="H1" s="45" t="s">
        <v>48</v>
      </c>
      <c r="I1" s="45" t="s">
        <v>49</v>
      </c>
    </row>
    <row r="2" spans="1:9">
      <c r="A2" s="13">
        <v>2023</v>
      </c>
      <c r="B2" s="14">
        <f>'Dados gerais'!N3</f>
        <v>44927</v>
      </c>
      <c r="C2" s="36">
        <v>32</v>
      </c>
      <c r="D2" s="15">
        <f>'Dados gerais'!Q3</f>
        <v>236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</row>
    <row r="3" spans="1:9">
      <c r="A3" s="13">
        <v>2023</v>
      </c>
      <c r="B3" s="14">
        <f>'Dados gerais'!N4</f>
        <v>44958</v>
      </c>
      <c r="C3" s="36">
        <v>34</v>
      </c>
      <c r="D3" s="15">
        <f>'Dados gerais'!Q4</f>
        <v>230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</row>
    <row r="4" spans="1:9">
      <c r="A4" s="13">
        <v>2023</v>
      </c>
      <c r="B4" s="14">
        <f>'Dados gerais'!N5</f>
        <v>44986</v>
      </c>
      <c r="C4" s="36">
        <v>35</v>
      </c>
      <c r="D4" s="15">
        <f>'Dados gerais'!Q5</f>
        <v>234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</row>
    <row r="5" spans="1:9">
      <c r="A5" s="13">
        <v>2023</v>
      </c>
      <c r="B5" s="14">
        <f>'Dados gerais'!N6</f>
        <v>45017</v>
      </c>
      <c r="C5" s="36">
        <f>26.5+32</f>
        <v>58.5</v>
      </c>
      <c r="D5" s="15">
        <f>'Dados gerais'!Q6</f>
        <v>236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</row>
    <row r="6" spans="1:9">
      <c r="A6" s="13">
        <v>2023</v>
      </c>
      <c r="B6" s="14">
        <f>'Dados gerais'!N7</f>
        <v>45047</v>
      </c>
      <c r="C6" s="36">
        <v>35</v>
      </c>
      <c r="D6" s="15">
        <f>'Dados gerais'!Q7</f>
        <v>237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</row>
    <row r="7" spans="1:9">
      <c r="A7" s="13">
        <v>2023</v>
      </c>
      <c r="B7" s="14">
        <f>'Dados gerais'!N8</f>
        <v>45078</v>
      </c>
      <c r="C7" s="36">
        <v>35</v>
      </c>
      <c r="D7" s="15">
        <f>'Dados gerais'!Q8</f>
        <v>239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</row>
    <row r="8" spans="1:9">
      <c r="A8" s="13">
        <v>2023</v>
      </c>
      <c r="B8" s="14">
        <f>'Dados gerais'!N9</f>
        <v>45108</v>
      </c>
      <c r="C8" s="36">
        <v>35</v>
      </c>
      <c r="D8" s="15">
        <f>'Dados gerais'!Q9</f>
        <v>248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</row>
    <row r="9" spans="1:9">
      <c r="A9" s="13">
        <v>2023</v>
      </c>
      <c r="B9" s="14">
        <f>'Dados gerais'!N10</f>
        <v>45139</v>
      </c>
      <c r="C9" s="36">
        <v>28</v>
      </c>
      <c r="D9" s="15">
        <f>'Dados gerais'!Q10</f>
        <v>248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</row>
    <row r="10" spans="1:9">
      <c r="A10" s="13">
        <v>2023</v>
      </c>
      <c r="B10" s="14">
        <f>'Dados gerais'!N11</f>
        <v>45170</v>
      </c>
      <c r="C10" s="36">
        <v>28</v>
      </c>
      <c r="D10" s="15">
        <f>'Dados gerais'!Q11</f>
        <v>248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>
      <c r="A11" s="13">
        <v>2023</v>
      </c>
      <c r="B11" s="14">
        <f>'Dados gerais'!N12</f>
        <v>45200</v>
      </c>
      <c r="C11" s="36">
        <f>42+12</f>
        <v>54</v>
      </c>
      <c r="D11" s="15">
        <f>'Dados gerais'!Q12</f>
        <v>247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 spans="1:9">
      <c r="A12" s="13">
        <v>2024</v>
      </c>
      <c r="B12" s="14">
        <f>'Dados gerais'!T3</f>
        <v>45292</v>
      </c>
      <c r="C12" s="36">
        <v>35</v>
      </c>
      <c r="D12" s="13">
        <f>'Dados gerais'!W3</f>
        <v>250</v>
      </c>
      <c r="E12" s="13">
        <v>0</v>
      </c>
      <c r="F12" s="13">
        <v>35</v>
      </c>
      <c r="G12" s="13">
        <v>0</v>
      </c>
      <c r="H12" s="13">
        <v>0</v>
      </c>
      <c r="I12" s="13">
        <v>0</v>
      </c>
    </row>
    <row r="13" spans="1:9">
      <c r="A13" s="13">
        <v>2024</v>
      </c>
      <c r="B13" s="14">
        <f>'Dados gerais'!T4</f>
        <v>45323</v>
      </c>
      <c r="C13" s="36">
        <v>38</v>
      </c>
      <c r="D13" s="13">
        <f>'Dados gerais'!W4</f>
        <v>249</v>
      </c>
      <c r="E13" s="13">
        <v>0</v>
      </c>
      <c r="F13" s="13">
        <v>38</v>
      </c>
      <c r="G13" s="13">
        <v>0</v>
      </c>
      <c r="H13" s="13">
        <v>0</v>
      </c>
      <c r="I13" s="13">
        <v>0</v>
      </c>
    </row>
    <row r="14" spans="1:9">
      <c r="A14" s="13">
        <v>2024</v>
      </c>
      <c r="B14" s="14">
        <f>'Dados gerais'!T5</f>
        <v>45352</v>
      </c>
      <c r="C14" s="36">
        <v>42</v>
      </c>
      <c r="D14" s="13">
        <f>'Dados gerais'!W5</f>
        <v>250</v>
      </c>
      <c r="E14" s="13">
        <v>0</v>
      </c>
      <c r="F14" s="13">
        <v>42</v>
      </c>
      <c r="G14" s="13">
        <v>0</v>
      </c>
      <c r="H14" s="13">
        <v>0</v>
      </c>
      <c r="I14" s="13">
        <v>0</v>
      </c>
    </row>
    <row r="15" spans="1:9">
      <c r="A15" s="13">
        <v>2024</v>
      </c>
      <c r="B15" s="14">
        <f>'Dados gerais'!T6</f>
        <v>45383</v>
      </c>
      <c r="C15" s="36">
        <v>35</v>
      </c>
      <c r="D15" s="13">
        <f>'Dados gerais'!W6</f>
        <v>259</v>
      </c>
      <c r="E15" s="13">
        <v>0</v>
      </c>
      <c r="F15" s="13">
        <v>35</v>
      </c>
      <c r="G15" s="13">
        <v>0</v>
      </c>
      <c r="H15" s="13">
        <v>0</v>
      </c>
      <c r="I15" s="13">
        <v>0</v>
      </c>
    </row>
    <row r="16" spans="1:9">
      <c r="A16" s="13">
        <v>2024</v>
      </c>
      <c r="B16" s="14">
        <f>'Dados gerais'!T7</f>
        <v>45413</v>
      </c>
      <c r="C16" s="36">
        <v>31</v>
      </c>
      <c r="D16" s="13">
        <f>'Dados gerais'!W7</f>
        <v>257</v>
      </c>
      <c r="E16" s="13">
        <v>0</v>
      </c>
      <c r="F16" s="13">
        <v>31</v>
      </c>
      <c r="G16" s="13">
        <v>0</v>
      </c>
      <c r="H16" s="13">
        <v>0</v>
      </c>
      <c r="I16" s="13">
        <v>0</v>
      </c>
    </row>
    <row r="17" spans="1:9">
      <c r="A17" s="13">
        <v>2024</v>
      </c>
      <c r="B17" s="14">
        <f>'Dados gerais'!T8</f>
        <v>45444</v>
      </c>
      <c r="C17" s="36">
        <v>31</v>
      </c>
      <c r="D17" s="13">
        <f>'Dados gerais'!W8</f>
        <v>255</v>
      </c>
      <c r="E17" s="13">
        <v>0</v>
      </c>
      <c r="F17" s="13">
        <v>31</v>
      </c>
      <c r="G17" s="13">
        <v>0</v>
      </c>
      <c r="H17" s="13">
        <v>0</v>
      </c>
      <c r="I17" s="13">
        <v>0</v>
      </c>
    </row>
    <row r="18" spans="1:9">
      <c r="A18" s="13">
        <v>2024</v>
      </c>
      <c r="B18" s="14">
        <f>'Dados gerais'!T9</f>
        <v>45474</v>
      </c>
      <c r="C18" s="36">
        <v>31</v>
      </c>
      <c r="D18" s="13">
        <f>'Dados gerais'!W9</f>
        <v>262</v>
      </c>
      <c r="E18" s="13">
        <v>0</v>
      </c>
      <c r="F18" s="13">
        <v>31</v>
      </c>
      <c r="G18" s="13">
        <v>0</v>
      </c>
      <c r="H18" s="13">
        <v>0</v>
      </c>
      <c r="I18" s="13">
        <v>0</v>
      </c>
    </row>
    <row r="19" spans="1:9">
      <c r="A19" s="13">
        <v>2024</v>
      </c>
      <c r="B19" s="14">
        <f>'Dados gerais'!T10</f>
        <v>45505</v>
      </c>
      <c r="C19" s="36">
        <v>30</v>
      </c>
      <c r="D19" s="13">
        <f>'Dados gerais'!W10</f>
        <v>258</v>
      </c>
      <c r="E19" s="13">
        <v>0</v>
      </c>
      <c r="F19" s="13">
        <v>30</v>
      </c>
      <c r="G19" s="13">
        <v>0</v>
      </c>
      <c r="H19" s="13">
        <v>0</v>
      </c>
      <c r="I19" s="13">
        <v>0</v>
      </c>
    </row>
    <row r="20" spans="1:9">
      <c r="A20" s="13">
        <v>2024</v>
      </c>
      <c r="B20" s="14">
        <f>'Dados gerais'!T11</f>
        <v>45536</v>
      </c>
      <c r="C20" s="36">
        <v>35</v>
      </c>
      <c r="D20" s="13">
        <f>'Dados gerais'!W11</f>
        <v>258</v>
      </c>
      <c r="E20" s="13">
        <v>0</v>
      </c>
      <c r="F20" s="13">
        <v>35</v>
      </c>
      <c r="G20" s="13">
        <v>0</v>
      </c>
      <c r="H20" s="13">
        <v>0</v>
      </c>
      <c r="I20" s="13">
        <v>0</v>
      </c>
    </row>
    <row r="21" spans="1:9" ht="15.75" customHeight="1">
      <c r="A21" s="13">
        <v>2024</v>
      </c>
      <c r="B21" s="14">
        <f>'Dados gerais'!T12</f>
        <v>45566</v>
      </c>
      <c r="C21" s="36">
        <v>48</v>
      </c>
      <c r="D21" s="13">
        <f>'Dados gerais'!W12</f>
        <v>264</v>
      </c>
      <c r="E21" s="13">
        <v>0</v>
      </c>
      <c r="F21" s="13">
        <v>48</v>
      </c>
      <c r="G21" s="13">
        <v>0</v>
      </c>
      <c r="H21" s="13">
        <v>0</v>
      </c>
      <c r="I21" s="13">
        <v>0</v>
      </c>
    </row>
    <row r="22" spans="1:9" ht="15.75" customHeight="1">
      <c r="A22" s="13">
        <v>2024</v>
      </c>
      <c r="B22" s="14">
        <f>'Dados gerais'!T13</f>
        <v>45597</v>
      </c>
      <c r="C22" s="36">
        <v>171.5</v>
      </c>
      <c r="D22" s="13">
        <f>'Dados gerais'!W13</f>
        <v>266</v>
      </c>
      <c r="E22" s="13">
        <v>19.5</v>
      </c>
      <c r="F22" s="13">
        <v>152</v>
      </c>
      <c r="G22" s="13">
        <v>0</v>
      </c>
      <c r="H22" s="13">
        <v>0</v>
      </c>
      <c r="I22" s="13">
        <v>0</v>
      </c>
    </row>
    <row r="23" spans="1:9" ht="15.75" customHeight="1">
      <c r="A23" s="13">
        <v>2024</v>
      </c>
      <c r="B23" s="14">
        <f>'Dados gerais'!T14</f>
        <v>45627</v>
      </c>
      <c r="C23" s="36">
        <v>133</v>
      </c>
      <c r="D23" s="13">
        <f>'Dados gerais'!W14</f>
        <v>278</v>
      </c>
      <c r="E23" s="13">
        <v>0</v>
      </c>
      <c r="F23" s="13">
        <v>133</v>
      </c>
      <c r="G23" s="13">
        <v>0</v>
      </c>
      <c r="H23" s="13">
        <v>0</v>
      </c>
      <c r="I23" s="13">
        <v>0</v>
      </c>
    </row>
    <row r="24" spans="1:9" ht="15.75" customHeight="1">
      <c r="A24" s="13">
        <v>2025</v>
      </c>
      <c r="B24" s="14">
        <f>'Dados gerais'!Z3</f>
        <v>45658</v>
      </c>
      <c r="C24" s="13">
        <v>0</v>
      </c>
      <c r="D24" s="13">
        <f>'Dados gerais'!AC3</f>
        <v>287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 spans="1:9" ht="15.75" customHeight="1">
      <c r="A25" s="13">
        <v>2025</v>
      </c>
      <c r="B25" s="14">
        <f>'Dados gerais'!Z4</f>
        <v>45689</v>
      </c>
      <c r="C25" s="16">
        <v>65</v>
      </c>
      <c r="D25" s="13">
        <f>'Dados gerais'!AC4</f>
        <v>294</v>
      </c>
      <c r="E25" s="13">
        <v>0</v>
      </c>
      <c r="F25" s="13">
        <v>18</v>
      </c>
      <c r="G25" s="13">
        <v>41.5</v>
      </c>
      <c r="H25" s="13">
        <v>6</v>
      </c>
      <c r="I25" s="13">
        <v>0</v>
      </c>
    </row>
    <row r="26" spans="1:9" ht="15.75" customHeight="1">
      <c r="A26" s="13">
        <v>2025</v>
      </c>
      <c r="B26" s="14">
        <f>'Dados gerais'!Z5</f>
        <v>45717</v>
      </c>
      <c r="C26" s="16">
        <v>129.5</v>
      </c>
      <c r="D26" s="13">
        <f>'Dados gerais'!AC5</f>
        <v>294</v>
      </c>
      <c r="E26" s="13">
        <v>0</v>
      </c>
      <c r="F26" s="13">
        <v>89</v>
      </c>
      <c r="G26" s="13">
        <v>15.5</v>
      </c>
      <c r="H26" s="13">
        <v>25</v>
      </c>
      <c r="I26" s="13">
        <v>0</v>
      </c>
    </row>
    <row r="27" spans="1:9" ht="15.75" customHeight="1">
      <c r="A27" s="13">
        <v>2025</v>
      </c>
      <c r="B27" s="14">
        <f>'Dados gerais'!Z6</f>
        <v>45748</v>
      </c>
      <c r="C27" s="16">
        <v>15</v>
      </c>
      <c r="D27" s="13">
        <f>'Dados gerais'!AC6</f>
        <v>0</v>
      </c>
      <c r="E27" s="13">
        <v>0</v>
      </c>
      <c r="F27" s="13">
        <v>15</v>
      </c>
      <c r="G27" s="13">
        <v>0</v>
      </c>
      <c r="H27" s="13">
        <v>0</v>
      </c>
      <c r="I27" s="13">
        <v>0</v>
      </c>
    </row>
    <row r="28" spans="1:9" ht="15.75" customHeight="1">
      <c r="A28" s="13">
        <v>2025</v>
      </c>
      <c r="B28" s="14">
        <f>'Dados gerais'!Z7</f>
        <v>45778</v>
      </c>
      <c r="C28" s="16">
        <v>331</v>
      </c>
      <c r="D28" s="13">
        <f>'Dados gerais'!AC7</f>
        <v>0</v>
      </c>
      <c r="E28" s="13">
        <v>0</v>
      </c>
      <c r="F28" s="13">
        <v>268</v>
      </c>
      <c r="G28" s="13">
        <v>0</v>
      </c>
      <c r="H28" s="13">
        <v>47</v>
      </c>
      <c r="I28" s="13">
        <v>16</v>
      </c>
    </row>
    <row r="29" spans="1:9" ht="15.75" customHeight="1">
      <c r="A29" s="18">
        <v>2025</v>
      </c>
      <c r="B29" s="17">
        <f>'Dados gerais'!Z8</f>
        <v>45809</v>
      </c>
      <c r="C29" s="19">
        <v>91</v>
      </c>
      <c r="D29" s="18">
        <f>'Dados gerais'!AC8</f>
        <v>0</v>
      </c>
      <c r="E29" s="18">
        <v>0</v>
      </c>
      <c r="F29" s="18">
        <v>83</v>
      </c>
      <c r="G29" s="19">
        <v>8</v>
      </c>
      <c r="H29" s="18">
        <v>0</v>
      </c>
      <c r="I29" s="18">
        <v>0</v>
      </c>
    </row>
    <row r="30" spans="1:9" ht="15.75" customHeight="1">
      <c r="A30" s="18">
        <v>2025</v>
      </c>
      <c r="B30" s="17">
        <f>'Dados gerais'!Z9</f>
        <v>45839</v>
      </c>
      <c r="C30" s="19">
        <v>0</v>
      </c>
      <c r="D30" s="18">
        <f>'Dados gerais'!AC9</f>
        <v>0</v>
      </c>
      <c r="E30" s="18">
        <v>0</v>
      </c>
      <c r="F30" s="18">
        <v>0</v>
      </c>
      <c r="G30" s="19">
        <v>0</v>
      </c>
      <c r="H30" s="18">
        <v>0</v>
      </c>
      <c r="I30" s="18">
        <v>0</v>
      </c>
    </row>
    <row r="31" spans="1:9" ht="15.75" customHeight="1">
      <c r="A31" s="13">
        <v>2025</v>
      </c>
      <c r="B31" s="14">
        <f>'Dados gerais'!Z10</f>
        <v>45870</v>
      </c>
      <c r="C31" s="46"/>
      <c r="D31" s="13">
        <f>'Dados gerais'!AC10</f>
        <v>0</v>
      </c>
      <c r="E31" s="13"/>
      <c r="F31" s="13"/>
      <c r="G31" s="13"/>
      <c r="H31" s="13"/>
      <c r="I31" s="13"/>
    </row>
    <row r="32" spans="1:9" ht="15.75" customHeight="1">
      <c r="A32" s="13">
        <v>2025</v>
      </c>
      <c r="B32" s="14">
        <f>'Dados gerais'!Z11</f>
        <v>45901</v>
      </c>
      <c r="C32" s="46"/>
      <c r="D32" s="13">
        <f>'Dados gerais'!AC11</f>
        <v>0</v>
      </c>
      <c r="E32" s="13"/>
      <c r="F32" s="13"/>
      <c r="G32" s="13"/>
      <c r="H32" s="13"/>
      <c r="I32" s="13"/>
    </row>
    <row r="33" spans="1:9" ht="15.75" customHeight="1">
      <c r="A33" s="13">
        <v>2025</v>
      </c>
      <c r="B33" s="14">
        <f>'Dados gerais'!Z12</f>
        <v>45931</v>
      </c>
      <c r="C33" s="46"/>
      <c r="D33" s="13">
        <f>'Dados gerais'!AC12</f>
        <v>0</v>
      </c>
      <c r="E33" s="13"/>
      <c r="F33" s="13"/>
      <c r="G33" s="13"/>
      <c r="H33" s="13"/>
      <c r="I33" s="13"/>
    </row>
    <row r="34" spans="1:9" ht="15.75" customHeight="1">
      <c r="A34" s="13">
        <v>2025</v>
      </c>
      <c r="B34" s="14">
        <f>'Dados gerais'!Z13</f>
        <v>45962</v>
      </c>
      <c r="C34" s="46"/>
      <c r="D34" s="13">
        <f>'Dados gerais'!AC13</f>
        <v>0</v>
      </c>
      <c r="E34" s="13"/>
      <c r="F34" s="13"/>
      <c r="G34" s="13"/>
      <c r="H34" s="13"/>
      <c r="I34" s="13"/>
    </row>
    <row r="35" spans="1:9" ht="15.75" customHeight="1">
      <c r="A35" s="13">
        <v>2025</v>
      </c>
      <c r="B35" s="14">
        <f>'Dados gerais'!Z14</f>
        <v>45992</v>
      </c>
      <c r="C35" s="46"/>
      <c r="D35" s="13">
        <f>'Dados gerais'!AC14</f>
        <v>0</v>
      </c>
      <c r="E35" s="13"/>
      <c r="F35" s="13"/>
      <c r="G35" s="13"/>
      <c r="H35" s="13"/>
      <c r="I35" s="13"/>
    </row>
    <row r="36" spans="1:9" ht="15.75" customHeight="1">
      <c r="A36" s="13">
        <v>2023</v>
      </c>
      <c r="B36" s="14">
        <f>'Dados gerais'!N13</f>
        <v>45231</v>
      </c>
      <c r="C36" s="46"/>
      <c r="D36" s="15">
        <f>'Dados gerais'!Q37</f>
        <v>0</v>
      </c>
      <c r="E36" s="46"/>
      <c r="F36" s="46"/>
      <c r="G36" s="46"/>
      <c r="H36" s="46"/>
      <c r="I36" s="13"/>
    </row>
    <row r="37" spans="1:9" ht="15.75" customHeight="1">
      <c r="A37" s="13">
        <v>2023</v>
      </c>
      <c r="B37" s="14">
        <f>'Dados gerais'!N14</f>
        <v>45261</v>
      </c>
      <c r="C37" s="46"/>
      <c r="D37" s="15">
        <f>'Dados gerais'!Q38</f>
        <v>0</v>
      </c>
      <c r="E37" s="46"/>
      <c r="F37" s="46"/>
      <c r="G37" s="46"/>
      <c r="H37" s="46"/>
      <c r="I37" s="13"/>
    </row>
    <row r="38" spans="1:9" ht="15.75" customHeight="1">
      <c r="D38" s="1"/>
    </row>
    <row r="39" spans="1:9" ht="15.75" customHeight="1">
      <c r="D39" s="1"/>
    </row>
    <row r="40" spans="1:9" ht="15.75" customHeight="1">
      <c r="D40" s="1"/>
    </row>
    <row r="41" spans="1:9" ht="15.75" customHeight="1">
      <c r="D41" s="1"/>
    </row>
    <row r="42" spans="1:9" ht="15.75" customHeight="1">
      <c r="D42" s="1"/>
    </row>
    <row r="43" spans="1:9" ht="15.75" customHeight="1">
      <c r="D43" s="1"/>
    </row>
    <row r="44" spans="1:9" ht="15.75" customHeight="1">
      <c r="D44" s="1"/>
    </row>
    <row r="45" spans="1:9" ht="15.75" customHeight="1">
      <c r="D45" s="1"/>
    </row>
    <row r="46" spans="1:9" ht="15.75" customHeight="1">
      <c r="D46" s="1"/>
    </row>
    <row r="47" spans="1:9" ht="15.75" customHeight="1">
      <c r="D47" s="1"/>
    </row>
    <row r="48" spans="1:9" ht="15.75" customHeight="1">
      <c r="D48" s="1"/>
    </row>
    <row r="49" spans="4:4" ht="15.75" customHeight="1">
      <c r="D49" s="1"/>
    </row>
    <row r="50" spans="4:4" ht="15.75" customHeight="1">
      <c r="D50" s="1"/>
    </row>
    <row r="51" spans="4:4" ht="15.75" customHeight="1">
      <c r="D51" s="1"/>
    </row>
    <row r="52" spans="4:4" ht="15.75" customHeight="1">
      <c r="D52" s="1"/>
    </row>
    <row r="53" spans="4:4" ht="15.75" customHeight="1">
      <c r="D53" s="1"/>
    </row>
    <row r="54" spans="4:4" ht="15.75" customHeight="1">
      <c r="D54" s="1"/>
    </row>
    <row r="55" spans="4:4" ht="15.75" customHeight="1">
      <c r="D55" s="1"/>
    </row>
    <row r="56" spans="4:4" ht="15.75" customHeight="1">
      <c r="D56" s="1"/>
    </row>
    <row r="57" spans="4:4" ht="15.75" customHeight="1">
      <c r="D57" s="1"/>
    </row>
    <row r="58" spans="4:4" ht="15.75" customHeight="1">
      <c r="D58" s="1"/>
    </row>
    <row r="59" spans="4:4" ht="15.75" customHeight="1">
      <c r="D59" s="1"/>
    </row>
    <row r="60" spans="4:4" ht="15.75" customHeight="1">
      <c r="D60" s="1"/>
    </row>
    <row r="61" spans="4:4" ht="15.75" customHeight="1">
      <c r="D61" s="1"/>
    </row>
    <row r="62" spans="4:4" ht="15.75" customHeight="1">
      <c r="D62" s="1"/>
    </row>
    <row r="63" spans="4:4" ht="15.75" customHeight="1">
      <c r="D63" s="1"/>
    </row>
    <row r="64" spans="4:4" ht="15.75" customHeight="1">
      <c r="D64" s="1"/>
    </row>
    <row r="65" spans="4:4" ht="15.75" customHeight="1">
      <c r="D65" s="1"/>
    </row>
    <row r="66" spans="4:4" ht="15.75" customHeight="1">
      <c r="D66" s="1"/>
    </row>
    <row r="67" spans="4:4" ht="15.75" customHeight="1">
      <c r="D67" s="1"/>
    </row>
    <row r="68" spans="4:4" ht="15.75" customHeight="1">
      <c r="D68" s="1"/>
    </row>
    <row r="69" spans="4:4" ht="15.75" customHeight="1">
      <c r="D69" s="1"/>
    </row>
    <row r="70" spans="4:4" ht="15.75" customHeight="1">
      <c r="D70" s="1"/>
    </row>
    <row r="71" spans="4:4" ht="15.75" customHeight="1">
      <c r="D71" s="1"/>
    </row>
    <row r="72" spans="4:4" ht="15.75" customHeight="1">
      <c r="D72" s="1"/>
    </row>
    <row r="73" spans="4:4" ht="15.75" customHeight="1">
      <c r="D73" s="1"/>
    </row>
    <row r="74" spans="4:4" ht="15.75" customHeight="1">
      <c r="D74" s="1"/>
    </row>
    <row r="75" spans="4:4" ht="15.75" customHeight="1">
      <c r="D75" s="1"/>
    </row>
    <row r="76" spans="4:4" ht="15.75" customHeight="1">
      <c r="D76" s="1"/>
    </row>
    <row r="77" spans="4:4" ht="15.75" customHeight="1">
      <c r="D77" s="1"/>
    </row>
    <row r="78" spans="4:4" ht="15.75" customHeight="1">
      <c r="D78" s="1"/>
    </row>
    <row r="79" spans="4:4" ht="15.75" customHeight="1">
      <c r="D79" s="1"/>
    </row>
    <row r="80" spans="4:4" ht="15.75" customHeight="1">
      <c r="D80" s="1"/>
    </row>
    <row r="81" spans="4:4" ht="15.75" customHeight="1">
      <c r="D81" s="1"/>
    </row>
    <row r="82" spans="4:4" ht="15.75" customHeight="1">
      <c r="D82" s="1"/>
    </row>
    <row r="83" spans="4:4" ht="15.75" customHeight="1">
      <c r="D83" s="1"/>
    </row>
    <row r="84" spans="4:4" ht="15.75" customHeight="1">
      <c r="D84" s="1"/>
    </row>
    <row r="85" spans="4:4" ht="15.75" customHeight="1">
      <c r="D85" s="1"/>
    </row>
    <row r="86" spans="4:4" ht="15.75" customHeight="1">
      <c r="D86" s="1"/>
    </row>
    <row r="87" spans="4:4" ht="15.75" customHeight="1">
      <c r="D87" s="1"/>
    </row>
    <row r="88" spans="4:4" ht="15.75" customHeight="1">
      <c r="D88" s="1"/>
    </row>
    <row r="89" spans="4:4" ht="15.75" customHeight="1">
      <c r="D89" s="1"/>
    </row>
    <row r="90" spans="4:4" ht="15.75" customHeight="1">
      <c r="D90" s="1"/>
    </row>
    <row r="91" spans="4:4" ht="15.75" customHeight="1">
      <c r="D91" s="1"/>
    </row>
    <row r="92" spans="4:4" ht="15.75" customHeight="1">
      <c r="D92" s="1"/>
    </row>
    <row r="93" spans="4:4" ht="15.75" customHeight="1">
      <c r="D93" s="1"/>
    </row>
    <row r="94" spans="4:4" ht="15.75" customHeight="1">
      <c r="D94" s="1"/>
    </row>
    <row r="95" spans="4:4" ht="15.75" customHeight="1">
      <c r="D95" s="1"/>
    </row>
    <row r="96" spans="4:4" ht="15.75" customHeight="1">
      <c r="D96" s="1"/>
    </row>
    <row r="97" spans="4:4" ht="15.75" customHeight="1">
      <c r="D97" s="1"/>
    </row>
    <row r="98" spans="4:4" ht="15.75" customHeight="1">
      <c r="D98" s="1"/>
    </row>
    <row r="99" spans="4:4" ht="15.75" customHeight="1">
      <c r="D99" s="1"/>
    </row>
    <row r="100" spans="4:4" ht="15.75" customHeight="1">
      <c r="D100" s="1"/>
    </row>
  </sheetData>
  <autoFilter ref="A1:H37"/>
  <pageMargins left="0.511811024" right="0.511811024" top="0.78740157499999996" bottom="0.78740157499999996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Dados gerais</vt:lpstr>
      <vt:lpstr>Água</vt:lpstr>
      <vt:lpstr>Energia elétrica</vt:lpstr>
      <vt:lpstr>Papel A4</vt:lpstr>
      <vt:lpstr>Emissão CO2 terrestre</vt:lpstr>
      <vt:lpstr>Emissão de CO² aereo</vt:lpstr>
      <vt:lpstr>Copo descartável</vt:lpstr>
      <vt:lpstr>Qte residuos comum</vt:lpstr>
      <vt:lpstr>Qte residuos reciclados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Raphael Nunes</dc:creator>
  <cp:keywords/>
  <dc:description/>
  <cp:lastModifiedBy>pedro cruzeiro</cp:lastModifiedBy>
  <cp:revision/>
  <dcterms:created xsi:type="dcterms:W3CDTF">2019-08-05T12:22:14Z</dcterms:created>
  <dcterms:modified xsi:type="dcterms:W3CDTF">2025-12-12T00:28:11Z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0x010100ADFA0423EF8ED7419359DA34C307ED71</vt:lpwstr>
  </property>
  <property fmtid="{D5CDD505-2E9C-101B-9397-08002B2CF9AE}" pid="3" name="MediaServiceImageTags">
    <vt:lpwstr/>
  </property>
</Properties>
</file>